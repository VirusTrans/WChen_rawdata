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upplementary  Figure12a" sheetId="1" r:id="rId1"/>
    <sheet name="Supplementary  Figure12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15" i="1" l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 l="1"/>
  <c r="G5" i="1"/>
  <c r="G12" i="1"/>
  <c r="G13" i="1"/>
  <c r="G14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<sst xmlns="http://schemas.openxmlformats.org/spreadsheetml/2006/main" count="173" uniqueCount="70">
  <si>
    <t>Sample</t>
    <phoneticPr fontId="1" type="noConversion"/>
  </si>
  <si>
    <t>Reporter</t>
  </si>
  <si>
    <t>Quencher</t>
  </si>
  <si>
    <t>1dpi OS-1</t>
    <phoneticPr fontId="1" type="noConversion"/>
  </si>
  <si>
    <t>FAM</t>
  </si>
  <si>
    <t>TAMRA</t>
  </si>
  <si>
    <t>1dpi OS-2</t>
  </si>
  <si>
    <t>1dpi OS-3</t>
  </si>
  <si>
    <t>3dpi OS-1</t>
    <phoneticPr fontId="1" type="noConversion"/>
  </si>
  <si>
    <t>3dpi OS-2</t>
    <phoneticPr fontId="1" type="noConversion"/>
  </si>
  <si>
    <t>3dpi OS-3</t>
    <phoneticPr fontId="1" type="noConversion"/>
  </si>
  <si>
    <t>5dpi OS-1</t>
    <phoneticPr fontId="1" type="noConversion"/>
  </si>
  <si>
    <t>5dpi OS-2</t>
    <phoneticPr fontId="1" type="noConversion"/>
  </si>
  <si>
    <t>5dpi OS-3</t>
    <phoneticPr fontId="1" type="noConversion"/>
  </si>
  <si>
    <t>7dpi OS-1</t>
    <phoneticPr fontId="1" type="noConversion"/>
  </si>
  <si>
    <t>7dpi OS-2</t>
    <phoneticPr fontId="1" type="noConversion"/>
  </si>
  <si>
    <t>7dpi OS-3</t>
    <phoneticPr fontId="1" type="noConversion"/>
  </si>
  <si>
    <t>1dpi palate-1</t>
  </si>
  <si>
    <t>1dpi palate-2</t>
  </si>
  <si>
    <t>1dpi palate-3</t>
  </si>
  <si>
    <t>3dpi palate-1</t>
  </si>
  <si>
    <t>3dpi palate-2</t>
  </si>
  <si>
    <t>3dpi palate-3</t>
  </si>
  <si>
    <t>5dpi palate-1</t>
  </si>
  <si>
    <t>5dpi palate-2</t>
  </si>
  <si>
    <t>5dpi palate-3</t>
  </si>
  <si>
    <t>7dpi palate-1</t>
  </si>
  <si>
    <t>7dpi palate-2</t>
  </si>
  <si>
    <t>7dpi palate-3</t>
  </si>
  <si>
    <t>1dpi lung-1</t>
  </si>
  <si>
    <t>1dpi lung-2</t>
  </si>
  <si>
    <t>1dpi lung-3</t>
  </si>
  <si>
    <t>3dpi lung-1</t>
  </si>
  <si>
    <t>3dpi lung-2</t>
  </si>
  <si>
    <t>3dpi lung-3</t>
  </si>
  <si>
    <t>5dpi lung-1</t>
  </si>
  <si>
    <t>5dpi lung-2</t>
  </si>
  <si>
    <t>5dpi lung-3</t>
  </si>
  <si>
    <t>7dpi lung-1</t>
  </si>
  <si>
    <t>7dpi lung-2</t>
  </si>
  <si>
    <t>7dpi lung-3</t>
  </si>
  <si>
    <t>Days post infection</t>
    <phoneticPr fontId="1" type="noConversion"/>
  </si>
  <si>
    <t>NA indicates that the HA fragment could not be successfully amplified from the sample.</t>
    <phoneticPr fontId="1" type="noConversion"/>
  </si>
  <si>
    <t>1dpi OS-2</t>
    <phoneticPr fontId="1" type="noConversion"/>
  </si>
  <si>
    <t>1dpi OS-3</t>
    <phoneticPr fontId="1" type="noConversion"/>
  </si>
  <si>
    <t>Percent(T190)%</t>
    <phoneticPr fontId="1" type="noConversion"/>
  </si>
  <si>
    <t>Percent(E190)%</t>
    <phoneticPr fontId="1" type="noConversion"/>
  </si>
  <si>
    <t>Percent(K190)%</t>
    <phoneticPr fontId="1" type="noConversion"/>
  </si>
  <si>
    <t>Percent(A190)%</t>
    <phoneticPr fontId="1" type="noConversion"/>
  </si>
  <si>
    <t>Percent(R190)%</t>
    <phoneticPr fontId="1" type="noConversion"/>
  </si>
  <si>
    <t>Percent(G190)%</t>
    <phoneticPr fontId="1" type="noConversion"/>
  </si>
  <si>
    <t>Percent(V190)%</t>
    <phoneticPr fontId="1" type="noConversion"/>
  </si>
  <si>
    <t>Percent(Q226)%</t>
    <phoneticPr fontId="1" type="noConversion"/>
  </si>
  <si>
    <t>Percent(L226)%</t>
    <phoneticPr fontId="1" type="noConversion"/>
  </si>
  <si>
    <t>Depth(T190)</t>
    <phoneticPr fontId="1" type="noConversion"/>
  </si>
  <si>
    <t>Depth(E190)</t>
    <phoneticPr fontId="1" type="noConversion"/>
  </si>
  <si>
    <t>Depth(K190)</t>
    <phoneticPr fontId="1" type="noConversion"/>
  </si>
  <si>
    <t>Depth(A190)</t>
    <phoneticPr fontId="1" type="noConversion"/>
  </si>
  <si>
    <t>Depth(R190)</t>
    <phoneticPr fontId="1" type="noConversion"/>
  </si>
  <si>
    <t>Depth(G190)</t>
    <phoneticPr fontId="1" type="noConversion"/>
  </si>
  <si>
    <t>Depth(V190)</t>
    <phoneticPr fontId="1" type="noConversion"/>
  </si>
  <si>
    <t>Depth(Q226)</t>
    <phoneticPr fontId="1" type="noConversion"/>
  </si>
  <si>
    <t>Depth(L226)</t>
    <phoneticPr fontId="1" type="noConversion"/>
  </si>
  <si>
    <t>NA</t>
    <phoneticPr fontId="1" type="noConversion"/>
  </si>
  <si>
    <t>Ct</t>
  </si>
  <si>
    <t>Copies/2μL</t>
    <phoneticPr fontId="1" type="noConversion"/>
  </si>
  <si>
    <t>Copies/mL</t>
    <phoneticPr fontId="1" type="noConversion"/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</si>
  <si>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copies/mL</t>
    </r>
    <phoneticPr fontId="1" type="noConversion"/>
  </si>
  <si>
    <t>RNA was extracted from 250μL of sample and dissolved in 30 μL of RNase-free water. NA indicates that the M fragment could not be successfully amplified from the sample.</t>
    <phoneticPr fontId="1" type="noConversion"/>
  </si>
  <si>
    <t>α-2,3 variant (E190/Q226)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</si>
</sst>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76" fontId="2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4" xfId="0" applyFill="1" applyBorder="1" applyAlignment="1">
      <alignment horizontal="left"/>
    </xf>
    <xf numFmtId="177" fontId="0" fillId="0" borderId="4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4" xfId="0" applyNumberFormat="1" applyFill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1" fontId="2" fillId="0" borderId="4" xfId="0" applyNumberFormat="1" applyFont="1" applyBorder="1" applyAlignment="1">
      <alignment horizontal="left"/>
    </xf>
    <xf numFmtId="177" fontId="2" fillId="0" borderId="4" xfId="0" applyNumberFormat="1" applyFont="1" applyBorder="1" applyAlignment="1">
      <alignment horizontal="left"/>
    </xf>
    <xf numFmtId="176" fontId="2" fillId="2" borderId="1" xfId="0" applyNumberFormat="1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176" fontId="2" fillId="2" borderId="3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4" workbookViewId="0">
      <selection activeCell="J4" sqref="J4"/>
    </sheetView>
  </sheetViews>
  <sheetFormatPr defaultRowHeight="14.25" x14ac:dyDescent="0.2"/>
  <cols>
    <col min="1" max="1" width="10.625" customWidth="1"/>
    <col min="6" max="6" width="13.25" customWidth="1"/>
    <col min="7" max="7" width="12.375" customWidth="1"/>
  </cols>
  <sheetData>
    <row r="1" spans="1:7" ht="15" x14ac:dyDescent="0.25">
      <c r="A1" s="14" t="s">
        <v>69</v>
      </c>
      <c r="B1" s="15"/>
      <c r="C1" s="15"/>
      <c r="D1" s="15"/>
      <c r="E1" s="15"/>
      <c r="F1" s="15"/>
      <c r="G1" s="16"/>
    </row>
    <row r="2" spans="1:7" ht="16.5" x14ac:dyDescent="0.3">
      <c r="A2" s="1" t="s">
        <v>0</v>
      </c>
      <c r="B2" s="1" t="s">
        <v>1</v>
      </c>
      <c r="C2" s="1" t="s">
        <v>2</v>
      </c>
      <c r="D2" s="1" t="s">
        <v>64</v>
      </c>
      <c r="E2" s="1" t="s">
        <v>65</v>
      </c>
      <c r="F2" s="1" t="s">
        <v>66</v>
      </c>
      <c r="G2" s="1" t="s">
        <v>67</v>
      </c>
    </row>
    <row r="3" spans="1:7" ht="15" x14ac:dyDescent="0.25">
      <c r="A3" s="1" t="s">
        <v>3</v>
      </c>
      <c r="B3" s="1" t="s">
        <v>4</v>
      </c>
      <c r="C3" s="1" t="s">
        <v>5</v>
      </c>
      <c r="D3" s="1">
        <v>35.700000000000003</v>
      </c>
      <c r="E3" s="12">
        <v>19</v>
      </c>
      <c r="F3" s="12">
        <v>1140</v>
      </c>
      <c r="G3" s="13">
        <f>LOG10(F3)</f>
        <v>3.0569048513364727</v>
      </c>
    </row>
    <row r="4" spans="1:7" ht="15" x14ac:dyDescent="0.25">
      <c r="A4" s="1" t="s">
        <v>6</v>
      </c>
      <c r="B4" s="1" t="s">
        <v>4</v>
      </c>
      <c r="C4" s="1" t="s">
        <v>5</v>
      </c>
      <c r="D4" s="1">
        <v>31.1</v>
      </c>
      <c r="E4" s="12">
        <v>525</v>
      </c>
      <c r="F4" s="12">
        <v>31500</v>
      </c>
      <c r="G4" s="13">
        <f t="shared" ref="G4:G38" si="0">LOG10(F4)</f>
        <v>4.4983105537896009</v>
      </c>
    </row>
    <row r="5" spans="1:7" ht="15" x14ac:dyDescent="0.25">
      <c r="A5" s="1" t="s">
        <v>7</v>
      </c>
      <c r="B5" s="1" t="s">
        <v>4</v>
      </c>
      <c r="C5" s="1" t="s">
        <v>5</v>
      </c>
      <c r="D5" s="1">
        <v>29.9</v>
      </c>
      <c r="E5" s="12">
        <v>1267</v>
      </c>
      <c r="F5" s="12">
        <v>76020</v>
      </c>
      <c r="G5" s="13">
        <f t="shared" si="0"/>
        <v>4.8809278652670853</v>
      </c>
    </row>
    <row r="6" spans="1:7" ht="15" x14ac:dyDescent="0.25">
      <c r="A6" s="1" t="s">
        <v>8</v>
      </c>
      <c r="B6" s="1" t="s">
        <v>4</v>
      </c>
      <c r="C6" s="1" t="s">
        <v>5</v>
      </c>
      <c r="D6" s="1">
        <v>25.3</v>
      </c>
      <c r="E6" s="12">
        <v>34516</v>
      </c>
      <c r="F6" s="12">
        <v>2070960</v>
      </c>
      <c r="G6" s="13">
        <f t="shared" si="0"/>
        <v>6.3161717107007727</v>
      </c>
    </row>
    <row r="7" spans="1:7" ht="15" x14ac:dyDescent="0.25">
      <c r="A7" s="1" t="s">
        <v>9</v>
      </c>
      <c r="B7" s="1" t="s">
        <v>4</v>
      </c>
      <c r="C7" s="1" t="s">
        <v>5</v>
      </c>
      <c r="D7" s="1">
        <v>33</v>
      </c>
      <c r="E7" s="12">
        <v>134</v>
      </c>
      <c r="F7" s="12">
        <v>8040</v>
      </c>
      <c r="G7" s="13">
        <f t="shared" si="0"/>
        <v>3.9052560487484511</v>
      </c>
    </row>
    <row r="8" spans="1:7" ht="15" x14ac:dyDescent="0.25">
      <c r="A8" s="1" t="s">
        <v>10</v>
      </c>
      <c r="B8" s="1" t="s">
        <v>4</v>
      </c>
      <c r="C8" s="1" t="s">
        <v>5</v>
      </c>
      <c r="D8" s="1">
        <v>26.4</v>
      </c>
      <c r="E8" s="12">
        <v>15362</v>
      </c>
      <c r="F8" s="12">
        <v>921720</v>
      </c>
      <c r="G8" s="13">
        <f t="shared" si="0"/>
        <v>5.9645990111585609</v>
      </c>
    </row>
    <row r="9" spans="1:7" ht="15" x14ac:dyDescent="0.25">
      <c r="A9" s="1" t="s">
        <v>11</v>
      </c>
      <c r="B9" s="1" t="s">
        <v>4</v>
      </c>
      <c r="C9" s="1" t="s">
        <v>5</v>
      </c>
      <c r="D9" s="1">
        <v>28</v>
      </c>
      <c r="E9" s="12">
        <v>4761</v>
      </c>
      <c r="F9" s="12">
        <v>285660</v>
      </c>
      <c r="G9" s="13">
        <f t="shared" si="0"/>
        <v>5.4558494318581543</v>
      </c>
    </row>
    <row r="10" spans="1:7" ht="15" x14ac:dyDescent="0.25">
      <c r="A10" s="1" t="s">
        <v>12</v>
      </c>
      <c r="B10" s="1" t="s">
        <v>4</v>
      </c>
      <c r="C10" s="1" t="s">
        <v>5</v>
      </c>
      <c r="D10" s="1">
        <v>30.9</v>
      </c>
      <c r="E10" s="12">
        <v>611</v>
      </c>
      <c r="F10" s="12">
        <v>36660</v>
      </c>
      <c r="G10" s="13">
        <f t="shared" si="0"/>
        <v>4.5641924606261979</v>
      </c>
    </row>
    <row r="11" spans="1:7" ht="15" x14ac:dyDescent="0.25">
      <c r="A11" s="1" t="s">
        <v>13</v>
      </c>
      <c r="B11" s="1" t="s">
        <v>4</v>
      </c>
      <c r="C11" s="1" t="s">
        <v>5</v>
      </c>
      <c r="D11" s="1">
        <v>34.5</v>
      </c>
      <c r="E11" s="12">
        <v>45</v>
      </c>
      <c r="F11" s="12">
        <v>2700</v>
      </c>
      <c r="G11" s="13">
        <f t="shared" si="0"/>
        <v>3.4313637641589874</v>
      </c>
    </row>
    <row r="12" spans="1:7" ht="15" x14ac:dyDescent="0.25">
      <c r="A12" s="1" t="s">
        <v>14</v>
      </c>
      <c r="B12" s="1" t="s">
        <v>4</v>
      </c>
      <c r="C12" s="1" t="s">
        <v>5</v>
      </c>
      <c r="D12" s="1">
        <v>30.3</v>
      </c>
      <c r="E12" s="12">
        <v>907</v>
      </c>
      <c r="F12" s="12">
        <v>54420</v>
      </c>
      <c r="G12" s="13">
        <f t="shared" si="0"/>
        <v>4.735758537443739</v>
      </c>
    </row>
    <row r="13" spans="1:7" ht="15" x14ac:dyDescent="0.25">
      <c r="A13" s="1" t="s">
        <v>15</v>
      </c>
      <c r="B13" s="1" t="s">
        <v>4</v>
      </c>
      <c r="C13" s="1" t="s">
        <v>5</v>
      </c>
      <c r="D13" s="1">
        <v>34</v>
      </c>
      <c r="E13" s="12">
        <v>66</v>
      </c>
      <c r="F13" s="12">
        <v>3960</v>
      </c>
      <c r="G13" s="13">
        <f t="shared" si="0"/>
        <v>3.5976951859255122</v>
      </c>
    </row>
    <row r="14" spans="1:7" ht="15" x14ac:dyDescent="0.25">
      <c r="A14" s="1" t="s">
        <v>16</v>
      </c>
      <c r="B14" s="1" t="s">
        <v>4</v>
      </c>
      <c r="C14" s="1" t="s">
        <v>5</v>
      </c>
      <c r="D14" s="1">
        <v>37.299999999999997</v>
      </c>
      <c r="E14" s="12">
        <v>6</v>
      </c>
      <c r="F14" s="12">
        <v>360</v>
      </c>
      <c r="G14" s="13">
        <f t="shared" si="0"/>
        <v>2.5563025007672873</v>
      </c>
    </row>
    <row r="15" spans="1:7" ht="15" x14ac:dyDescent="0.25">
      <c r="A15" s="1" t="s">
        <v>17</v>
      </c>
      <c r="B15" s="1" t="s">
        <v>4</v>
      </c>
      <c r="C15" s="1" t="s">
        <v>5</v>
      </c>
      <c r="D15" s="1">
        <v>32.299999999999997</v>
      </c>
      <c r="E15" s="12">
        <v>227</v>
      </c>
      <c r="F15" s="12">
        <v>13620</v>
      </c>
      <c r="G15" s="13">
        <f t="shared" si="0"/>
        <v>4.1341771075767664</v>
      </c>
    </row>
    <row r="16" spans="1:7" ht="15" x14ac:dyDescent="0.25">
      <c r="A16" s="1" t="s">
        <v>18</v>
      </c>
      <c r="B16" s="1" t="s">
        <v>4</v>
      </c>
      <c r="C16" s="1" t="s">
        <v>5</v>
      </c>
      <c r="D16" s="1">
        <v>28.2</v>
      </c>
      <c r="E16" s="12">
        <v>4187</v>
      </c>
      <c r="F16" s="12">
        <v>251220</v>
      </c>
      <c r="G16" s="13">
        <f t="shared" si="0"/>
        <v>5.4000542112748739</v>
      </c>
    </row>
    <row r="17" spans="1:7" ht="15" x14ac:dyDescent="0.25">
      <c r="A17" s="1" t="s">
        <v>19</v>
      </c>
      <c r="B17" s="1" t="s">
        <v>4</v>
      </c>
      <c r="C17" s="1" t="s">
        <v>5</v>
      </c>
      <c r="D17" s="1">
        <v>31.2</v>
      </c>
      <c r="E17" s="12">
        <v>502</v>
      </c>
      <c r="F17" s="12">
        <v>30120</v>
      </c>
      <c r="G17" s="13">
        <f t="shared" si="0"/>
        <v>4.4788549675286626</v>
      </c>
    </row>
    <row r="18" spans="1:7" ht="15" x14ac:dyDescent="0.25">
      <c r="A18" s="1" t="s">
        <v>20</v>
      </c>
      <c r="B18" s="1" t="s">
        <v>4</v>
      </c>
      <c r="C18" s="1" t="s">
        <v>5</v>
      </c>
      <c r="D18" s="1">
        <v>17.899999999999999</v>
      </c>
      <c r="E18" s="12">
        <v>6964114</v>
      </c>
      <c r="F18" s="12">
        <v>417846840</v>
      </c>
      <c r="G18" s="13">
        <f t="shared" si="0"/>
        <v>8.6210171221290111</v>
      </c>
    </row>
    <row r="19" spans="1:7" ht="15" x14ac:dyDescent="0.25">
      <c r="A19" s="1" t="s">
        <v>21</v>
      </c>
      <c r="B19" s="1" t="s">
        <v>4</v>
      </c>
      <c r="C19" s="1" t="s">
        <v>5</v>
      </c>
      <c r="D19" s="1">
        <v>23.3</v>
      </c>
      <c r="E19" s="12">
        <v>135545</v>
      </c>
      <c r="F19" s="12">
        <v>8132700</v>
      </c>
      <c r="G19" s="13">
        <f t="shared" si="0"/>
        <v>6.9102347522893783</v>
      </c>
    </row>
    <row r="20" spans="1:7" ht="15" x14ac:dyDescent="0.25">
      <c r="A20" s="1" t="s">
        <v>22</v>
      </c>
      <c r="B20" s="1" t="s">
        <v>4</v>
      </c>
      <c r="C20" s="1" t="s">
        <v>5</v>
      </c>
      <c r="D20" s="1">
        <v>26.9</v>
      </c>
      <c r="E20" s="12">
        <v>10691</v>
      </c>
      <c r="F20" s="12">
        <v>641460</v>
      </c>
      <c r="G20" s="13">
        <f t="shared" si="0"/>
        <v>5.8071695799301253</v>
      </c>
    </row>
    <row r="21" spans="1:7" ht="15" x14ac:dyDescent="0.25">
      <c r="A21" s="1" t="s">
        <v>23</v>
      </c>
      <c r="B21" s="1" t="s">
        <v>4</v>
      </c>
      <c r="C21" s="1" t="s">
        <v>5</v>
      </c>
      <c r="D21" s="1">
        <v>30</v>
      </c>
      <c r="E21" s="12">
        <v>1135</v>
      </c>
      <c r="F21" s="12">
        <v>68100</v>
      </c>
      <c r="G21" s="13">
        <f t="shared" si="0"/>
        <v>4.8331471119127851</v>
      </c>
    </row>
    <row r="22" spans="1:7" ht="15" x14ac:dyDescent="0.25">
      <c r="A22" s="1" t="s">
        <v>24</v>
      </c>
      <c r="B22" s="1" t="s">
        <v>4</v>
      </c>
      <c r="C22" s="1" t="s">
        <v>5</v>
      </c>
      <c r="D22" s="1">
        <v>30.2</v>
      </c>
      <c r="E22" s="12">
        <v>985</v>
      </c>
      <c r="F22" s="12">
        <v>59100</v>
      </c>
      <c r="G22" s="13">
        <f t="shared" si="0"/>
        <v>4.7715874808812551</v>
      </c>
    </row>
    <row r="23" spans="1:7" ht="15" x14ac:dyDescent="0.25">
      <c r="A23" s="1" t="s">
        <v>25</v>
      </c>
      <c r="B23" s="1" t="s">
        <v>4</v>
      </c>
      <c r="C23" s="1" t="s">
        <v>5</v>
      </c>
      <c r="D23" s="1">
        <v>30.4</v>
      </c>
      <c r="E23" s="12">
        <v>837</v>
      </c>
      <c r="F23" s="12">
        <v>50220</v>
      </c>
      <c r="G23" s="13">
        <f t="shared" si="0"/>
        <v>4.7008767083769039</v>
      </c>
    </row>
    <row r="24" spans="1:7" ht="15" x14ac:dyDescent="0.25">
      <c r="A24" s="1" t="s">
        <v>26</v>
      </c>
      <c r="B24" s="1" t="s">
        <v>4</v>
      </c>
      <c r="C24" s="1" t="s">
        <v>5</v>
      </c>
      <c r="D24" s="1">
        <v>23.6</v>
      </c>
      <c r="E24" s="12">
        <v>113939</v>
      </c>
      <c r="F24" s="12">
        <v>6836340</v>
      </c>
      <c r="G24" s="13">
        <f t="shared" si="0"/>
        <v>6.8348236538807514</v>
      </c>
    </row>
    <row r="25" spans="1:7" ht="15" x14ac:dyDescent="0.25">
      <c r="A25" s="1" t="s">
        <v>27</v>
      </c>
      <c r="B25" s="1" t="s">
        <v>4</v>
      </c>
      <c r="C25" s="1" t="s">
        <v>5</v>
      </c>
      <c r="D25" s="1">
        <v>34.700000000000003</v>
      </c>
      <c r="E25" s="12">
        <v>40</v>
      </c>
      <c r="F25" s="12">
        <v>2400</v>
      </c>
      <c r="G25" s="13">
        <f t="shared" si="0"/>
        <v>3.3802112417116059</v>
      </c>
    </row>
    <row r="26" spans="1:7" ht="15" x14ac:dyDescent="0.25">
      <c r="A26" s="1" t="s">
        <v>28</v>
      </c>
      <c r="B26" s="1" t="s">
        <v>4</v>
      </c>
      <c r="C26" s="1" t="s">
        <v>5</v>
      </c>
      <c r="D26" s="1">
        <v>31.6</v>
      </c>
      <c r="E26" s="12">
        <v>372</v>
      </c>
      <c r="F26" s="12">
        <v>22320</v>
      </c>
      <c r="G26" s="13">
        <f t="shared" si="0"/>
        <v>4.3486941902655412</v>
      </c>
    </row>
    <row r="27" spans="1:7" ht="15" x14ac:dyDescent="0.25">
      <c r="A27" s="1" t="s">
        <v>29</v>
      </c>
      <c r="B27" s="1" t="s">
        <v>4</v>
      </c>
      <c r="C27" s="1" t="s">
        <v>5</v>
      </c>
      <c r="D27" s="1">
        <v>23.5</v>
      </c>
      <c r="E27" s="12">
        <v>121973</v>
      </c>
      <c r="F27" s="12">
        <v>7318380</v>
      </c>
      <c r="G27" s="13">
        <f t="shared" si="0"/>
        <v>6.8644149560686651</v>
      </c>
    </row>
    <row r="28" spans="1:7" ht="15" x14ac:dyDescent="0.25">
      <c r="A28" s="1" t="s">
        <v>30</v>
      </c>
      <c r="B28" s="1" t="s">
        <v>4</v>
      </c>
      <c r="C28" s="1" t="s">
        <v>5</v>
      </c>
      <c r="D28" s="1">
        <v>20</v>
      </c>
      <c r="E28" s="12">
        <v>1490377</v>
      </c>
      <c r="F28" s="12">
        <v>89422620</v>
      </c>
      <c r="G28" s="13">
        <f t="shared" si="0"/>
        <v>7.9514473901447777</v>
      </c>
    </row>
    <row r="29" spans="1:7" ht="15" x14ac:dyDescent="0.25">
      <c r="A29" s="1" t="s">
        <v>31</v>
      </c>
      <c r="B29" s="1" t="s">
        <v>4</v>
      </c>
      <c r="C29" s="1" t="s">
        <v>5</v>
      </c>
      <c r="D29" s="1">
        <v>22.1</v>
      </c>
      <c r="E29" s="12">
        <v>330937</v>
      </c>
      <c r="F29" s="12">
        <v>19856220</v>
      </c>
      <c r="G29" s="13">
        <f t="shared" si="0"/>
        <v>7.2978965760128691</v>
      </c>
    </row>
    <row r="30" spans="1:7" ht="15" x14ac:dyDescent="0.25">
      <c r="A30" s="1" t="s">
        <v>32</v>
      </c>
      <c r="B30" s="1" t="s">
        <v>4</v>
      </c>
      <c r="C30" s="1" t="s">
        <v>5</v>
      </c>
      <c r="D30" s="1">
        <v>20</v>
      </c>
      <c r="E30" s="12">
        <v>1511872</v>
      </c>
      <c r="F30" s="12">
        <v>90712320</v>
      </c>
      <c r="G30" s="13">
        <f t="shared" si="0"/>
        <v>7.9576662743220989</v>
      </c>
    </row>
    <row r="31" spans="1:7" ht="15" x14ac:dyDescent="0.25">
      <c r="A31" s="1" t="s">
        <v>33</v>
      </c>
      <c r="B31" s="1" t="s">
        <v>4</v>
      </c>
      <c r="C31" s="1" t="s">
        <v>5</v>
      </c>
      <c r="D31" s="1">
        <v>32.200000000000003</v>
      </c>
      <c r="E31" s="12">
        <v>244</v>
      </c>
      <c r="F31" s="12">
        <v>14640</v>
      </c>
      <c r="G31" s="13">
        <f t="shared" si="0"/>
        <v>4.1655410767223726</v>
      </c>
    </row>
    <row r="32" spans="1:7" ht="15" x14ac:dyDescent="0.25">
      <c r="A32" s="1" t="s">
        <v>34</v>
      </c>
      <c r="B32" s="1" t="s">
        <v>4</v>
      </c>
      <c r="C32" s="1" t="s">
        <v>5</v>
      </c>
      <c r="D32" s="1">
        <v>18</v>
      </c>
      <c r="E32" s="12">
        <v>6249566</v>
      </c>
      <c r="F32" s="12">
        <v>374973960</v>
      </c>
      <c r="G32" s="13">
        <f t="shared" si="0"/>
        <v>8.5740011092717818</v>
      </c>
    </row>
    <row r="33" spans="1:7" ht="15" x14ac:dyDescent="0.25">
      <c r="A33" s="1" t="s">
        <v>35</v>
      </c>
      <c r="B33" s="1" t="s">
        <v>4</v>
      </c>
      <c r="C33" s="1" t="s">
        <v>5</v>
      </c>
      <c r="D33" s="1">
        <v>30.9</v>
      </c>
      <c r="E33" s="12">
        <v>622</v>
      </c>
      <c r="F33" s="12">
        <v>37320</v>
      </c>
      <c r="G33" s="13">
        <f t="shared" si="0"/>
        <v>4.5719416350744622</v>
      </c>
    </row>
    <row r="34" spans="1:7" ht="15" x14ac:dyDescent="0.25">
      <c r="A34" s="1" t="s">
        <v>36</v>
      </c>
      <c r="B34" s="1" t="s">
        <v>4</v>
      </c>
      <c r="C34" s="1" t="s">
        <v>5</v>
      </c>
      <c r="D34" s="1">
        <v>23.5</v>
      </c>
      <c r="E34" s="12">
        <v>122879</v>
      </c>
      <c r="F34" s="12">
        <v>7372740</v>
      </c>
      <c r="G34" s="13">
        <f t="shared" si="0"/>
        <v>6.8676289187591575</v>
      </c>
    </row>
    <row r="35" spans="1:7" ht="15" x14ac:dyDescent="0.25">
      <c r="A35" s="1" t="s">
        <v>37</v>
      </c>
      <c r="B35" s="1" t="s">
        <v>4</v>
      </c>
      <c r="C35" s="1" t="s">
        <v>5</v>
      </c>
      <c r="D35" s="1">
        <v>30.3</v>
      </c>
      <c r="E35" s="12">
        <v>900</v>
      </c>
      <c r="F35" s="12">
        <v>54000</v>
      </c>
      <c r="G35" s="13">
        <f t="shared" si="0"/>
        <v>4.7323937598229682</v>
      </c>
    </row>
    <row r="36" spans="1:7" ht="15" x14ac:dyDescent="0.25">
      <c r="A36" s="1" t="s">
        <v>38</v>
      </c>
      <c r="B36" s="1" t="s">
        <v>4</v>
      </c>
      <c r="C36" s="1" t="s">
        <v>5</v>
      </c>
      <c r="D36" s="1">
        <v>29.2</v>
      </c>
      <c r="E36" s="12">
        <v>2027</v>
      </c>
      <c r="F36" s="12">
        <v>121620</v>
      </c>
      <c r="G36" s="13">
        <f t="shared" si="0"/>
        <v>5.0850049990766522</v>
      </c>
    </row>
    <row r="37" spans="1:7" ht="15" x14ac:dyDescent="0.25">
      <c r="A37" s="1" t="s">
        <v>39</v>
      </c>
      <c r="B37" s="1" t="s">
        <v>4</v>
      </c>
      <c r="C37" s="1" t="s">
        <v>5</v>
      </c>
      <c r="D37" s="1">
        <v>34.200000000000003</v>
      </c>
      <c r="E37" s="12">
        <v>58</v>
      </c>
      <c r="F37" s="12">
        <v>3480</v>
      </c>
      <c r="G37" s="13">
        <f t="shared" si="0"/>
        <v>3.5415792439465807</v>
      </c>
    </row>
    <row r="38" spans="1:7" ht="15" x14ac:dyDescent="0.25">
      <c r="A38" s="1" t="s">
        <v>40</v>
      </c>
      <c r="B38" s="1" t="s">
        <v>4</v>
      </c>
      <c r="C38" s="1" t="s">
        <v>5</v>
      </c>
      <c r="D38" s="1">
        <v>33.700000000000003</v>
      </c>
      <c r="E38" s="12">
        <v>83</v>
      </c>
      <c r="F38" s="12">
        <v>4980</v>
      </c>
      <c r="G38" s="13">
        <f t="shared" si="0"/>
        <v>3.6972293427597176</v>
      </c>
    </row>
    <row r="40" spans="1:7" x14ac:dyDescent="0.2">
      <c r="A40" t="s">
        <v>68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zoomScaleNormal="100" workbookViewId="0">
      <selection activeCell="B17" sqref="B17:O17"/>
    </sheetView>
  </sheetViews>
  <sheetFormatPr defaultRowHeight="14.25" x14ac:dyDescent="0.2"/>
  <cols>
    <col min="1" max="1" width="16" customWidth="1"/>
    <col min="2" max="2" width="11.25" customWidth="1"/>
    <col min="3" max="3" width="13.25" customWidth="1"/>
    <col min="4" max="4" width="10.875" customWidth="1"/>
    <col min="5" max="5" width="12.625" customWidth="1"/>
    <col min="6" max="6" width="10.625" customWidth="1"/>
    <col min="7" max="7" width="13" customWidth="1"/>
    <col min="8" max="8" width="11.25" customWidth="1"/>
    <col min="9" max="9" width="13.125" customWidth="1"/>
    <col min="10" max="10" width="10.875" customWidth="1"/>
    <col min="11" max="11" width="13" customWidth="1"/>
    <col min="12" max="12" width="11.375" customWidth="1"/>
    <col min="13" max="13" width="13.375" customWidth="1"/>
    <col min="14" max="14" width="11" customWidth="1"/>
    <col min="15" max="15" width="13" customWidth="1"/>
    <col min="16" max="16" width="16.25" customWidth="1"/>
    <col min="17" max="17" width="10.875" customWidth="1"/>
    <col min="18" max="18" width="13.625" customWidth="1"/>
    <col min="19" max="19" width="10.875" customWidth="1"/>
    <col min="20" max="20" width="13.125" customWidth="1"/>
  </cols>
  <sheetData>
    <row r="1" spans="1:20" ht="15.75" x14ac:dyDescent="0.25">
      <c r="A1" s="17" t="s">
        <v>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x14ac:dyDescent="0.2">
      <c r="A2" s="3" t="s">
        <v>41</v>
      </c>
      <c r="B2" s="6" t="s">
        <v>54</v>
      </c>
      <c r="C2" s="6" t="s">
        <v>45</v>
      </c>
      <c r="D2" s="6" t="s">
        <v>55</v>
      </c>
      <c r="E2" s="6" t="s">
        <v>46</v>
      </c>
      <c r="F2" s="6" t="s">
        <v>56</v>
      </c>
      <c r="G2" s="6" t="s">
        <v>47</v>
      </c>
      <c r="H2" s="6" t="s">
        <v>57</v>
      </c>
      <c r="I2" s="6" t="s">
        <v>48</v>
      </c>
      <c r="J2" s="6" t="s">
        <v>58</v>
      </c>
      <c r="K2" s="6" t="s">
        <v>49</v>
      </c>
      <c r="L2" s="6" t="s">
        <v>59</v>
      </c>
      <c r="M2" s="6" t="s">
        <v>50</v>
      </c>
      <c r="N2" s="6" t="s">
        <v>60</v>
      </c>
      <c r="O2" s="6" t="s">
        <v>51</v>
      </c>
      <c r="P2" s="3" t="s">
        <v>41</v>
      </c>
      <c r="Q2" s="6" t="s">
        <v>61</v>
      </c>
      <c r="R2" s="6" t="s">
        <v>52</v>
      </c>
      <c r="S2" s="6" t="s">
        <v>62</v>
      </c>
      <c r="T2" s="6" t="s">
        <v>53</v>
      </c>
    </row>
    <row r="3" spans="1:20" x14ac:dyDescent="0.2">
      <c r="A3" s="3" t="s">
        <v>3</v>
      </c>
      <c r="B3" s="19" t="s">
        <v>63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3" t="s">
        <v>3</v>
      </c>
      <c r="Q3" s="19" t="s">
        <v>63</v>
      </c>
      <c r="R3" s="19"/>
      <c r="S3" s="19"/>
      <c r="T3" s="20"/>
    </row>
    <row r="4" spans="1:20" x14ac:dyDescent="0.2">
      <c r="A4" s="3" t="s">
        <v>43</v>
      </c>
      <c r="B4" s="19" t="s">
        <v>63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3" t="s">
        <v>43</v>
      </c>
      <c r="Q4" s="21" t="s">
        <v>63</v>
      </c>
      <c r="R4" s="19"/>
      <c r="S4" s="19"/>
      <c r="T4" s="20"/>
    </row>
    <row r="5" spans="1:20" x14ac:dyDescent="0.2">
      <c r="A5" s="3" t="s">
        <v>44</v>
      </c>
      <c r="B5" s="9">
        <v>176382</v>
      </c>
      <c r="C5" s="7">
        <v>38.199800000000003</v>
      </c>
      <c r="D5" s="8">
        <v>122069</v>
      </c>
      <c r="E5" s="7">
        <v>26.436999999999998</v>
      </c>
      <c r="F5" s="8">
        <v>163284</v>
      </c>
      <c r="G5" s="7">
        <v>35.363199999999999</v>
      </c>
      <c r="H5" s="8">
        <v>0</v>
      </c>
      <c r="I5" s="7">
        <v>0</v>
      </c>
      <c r="J5" s="8">
        <v>0</v>
      </c>
      <c r="K5" s="7">
        <v>0</v>
      </c>
      <c r="L5" s="8">
        <v>0</v>
      </c>
      <c r="M5" s="7">
        <v>0</v>
      </c>
      <c r="N5" s="8">
        <v>0</v>
      </c>
      <c r="O5" s="7">
        <v>0</v>
      </c>
      <c r="P5" s="3" t="s">
        <v>44</v>
      </c>
      <c r="Q5" s="9">
        <v>409583</v>
      </c>
      <c r="R5" s="2">
        <v>88.706600000000009</v>
      </c>
      <c r="S5" s="10">
        <v>46256</v>
      </c>
      <c r="T5" s="11">
        <v>11.293399999999991</v>
      </c>
    </row>
    <row r="6" spans="1:20" x14ac:dyDescent="0.2">
      <c r="A6" s="3"/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6"/>
      <c r="R6" s="2"/>
      <c r="S6" s="2"/>
      <c r="T6" s="2"/>
    </row>
    <row r="7" spans="1:20" x14ac:dyDescent="0.2">
      <c r="A7" s="3" t="s">
        <v>8</v>
      </c>
      <c r="B7" s="9">
        <v>15216</v>
      </c>
      <c r="C7" s="7">
        <v>30.85560000000001</v>
      </c>
      <c r="D7" s="8">
        <v>15029</v>
      </c>
      <c r="E7" s="7">
        <v>30.476900000000001</v>
      </c>
      <c r="F7" s="8">
        <v>19068</v>
      </c>
      <c r="G7" s="7">
        <v>38.66749999999999</v>
      </c>
      <c r="H7" s="8">
        <v>0</v>
      </c>
      <c r="I7" s="7">
        <v>0</v>
      </c>
      <c r="J7" s="8">
        <v>0</v>
      </c>
      <c r="K7" s="7">
        <v>0</v>
      </c>
      <c r="L7" s="8">
        <v>0</v>
      </c>
      <c r="M7" s="7">
        <v>0</v>
      </c>
      <c r="N7" s="8">
        <v>0</v>
      </c>
      <c r="O7" s="7">
        <v>0</v>
      </c>
      <c r="P7" s="3" t="s">
        <v>8</v>
      </c>
      <c r="Q7" s="9">
        <v>47785</v>
      </c>
      <c r="R7" s="2">
        <v>96.898499999999999</v>
      </c>
      <c r="S7" s="8">
        <v>1529</v>
      </c>
      <c r="T7" s="2">
        <v>3.1015000000000015</v>
      </c>
    </row>
    <row r="8" spans="1:20" x14ac:dyDescent="0.2">
      <c r="A8" s="3" t="s">
        <v>9</v>
      </c>
      <c r="B8" s="19" t="s">
        <v>63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  <c r="P8" s="3" t="s">
        <v>9</v>
      </c>
      <c r="Q8" s="19" t="s">
        <v>63</v>
      </c>
      <c r="R8" s="19"/>
      <c r="S8" s="19"/>
      <c r="T8" s="20"/>
    </row>
    <row r="9" spans="1:20" x14ac:dyDescent="0.2">
      <c r="A9" s="3" t="s">
        <v>10</v>
      </c>
      <c r="B9" s="9">
        <v>6923</v>
      </c>
      <c r="C9" s="7">
        <v>14.038199999999996</v>
      </c>
      <c r="D9" s="7">
        <v>11117</v>
      </c>
      <c r="E9" s="7">
        <v>22.543800000000001</v>
      </c>
      <c r="F9" s="8">
        <v>0</v>
      </c>
      <c r="G9" s="7">
        <v>0</v>
      </c>
      <c r="H9" s="8">
        <v>0</v>
      </c>
      <c r="I9" s="7">
        <v>0</v>
      </c>
      <c r="J9" s="8">
        <v>0</v>
      </c>
      <c r="K9" s="7">
        <v>0</v>
      </c>
      <c r="L9" s="8">
        <v>0</v>
      </c>
      <c r="M9" s="7">
        <v>0</v>
      </c>
      <c r="N9" s="8">
        <v>31274</v>
      </c>
      <c r="O9" s="7">
        <v>63.417999999999999</v>
      </c>
      <c r="P9" s="3" t="s">
        <v>10</v>
      </c>
      <c r="Q9" s="9">
        <v>46029</v>
      </c>
      <c r="R9" s="2">
        <v>93.337699999999998</v>
      </c>
      <c r="S9" s="8">
        <v>3285</v>
      </c>
      <c r="T9" s="2">
        <v>6.6623000000000019</v>
      </c>
    </row>
    <row r="10" spans="1:20" x14ac:dyDescent="0.2">
      <c r="A10" s="3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6"/>
      <c r="R10" s="2"/>
      <c r="S10" s="2"/>
      <c r="T10" s="2"/>
    </row>
    <row r="11" spans="1:20" x14ac:dyDescent="0.2">
      <c r="A11" s="3" t="s">
        <v>11</v>
      </c>
      <c r="B11" s="6">
        <v>189441</v>
      </c>
      <c r="C11" s="7">
        <v>34.349699999999999</v>
      </c>
      <c r="D11" s="8">
        <v>78037</v>
      </c>
      <c r="E11" s="7">
        <v>14.149800000000001</v>
      </c>
      <c r="F11" s="8">
        <v>284029</v>
      </c>
      <c r="G11" s="7">
        <v>51.500500000000002</v>
      </c>
      <c r="H11" s="8">
        <v>0</v>
      </c>
      <c r="I11" s="7">
        <v>0</v>
      </c>
      <c r="J11" s="8">
        <v>0</v>
      </c>
      <c r="K11" s="7">
        <v>0</v>
      </c>
      <c r="L11" s="8">
        <v>0</v>
      </c>
      <c r="M11" s="7">
        <v>0</v>
      </c>
      <c r="N11" s="8">
        <v>0</v>
      </c>
      <c r="O11" s="7">
        <v>0</v>
      </c>
      <c r="P11" s="3" t="s">
        <v>11</v>
      </c>
      <c r="Q11" s="9">
        <v>443029</v>
      </c>
      <c r="R11" s="2">
        <v>98.770200000000003</v>
      </c>
      <c r="S11" s="8">
        <v>5516</v>
      </c>
      <c r="T11" s="2">
        <v>1.2297999999999973</v>
      </c>
    </row>
    <row r="12" spans="1:20" x14ac:dyDescent="0.2">
      <c r="A12" s="3" t="s">
        <v>12</v>
      </c>
      <c r="B12" s="9">
        <v>10268</v>
      </c>
      <c r="C12" s="7">
        <v>20.820899999999995</v>
      </c>
      <c r="D12" s="8">
        <v>5191</v>
      </c>
      <c r="E12" s="7">
        <v>10.526899999999999</v>
      </c>
      <c r="F12" s="8">
        <v>33855</v>
      </c>
      <c r="G12" s="7">
        <v>68.652200000000008</v>
      </c>
      <c r="H12" s="8">
        <v>0</v>
      </c>
      <c r="I12" s="7">
        <v>0</v>
      </c>
      <c r="J12" s="8">
        <v>0</v>
      </c>
      <c r="K12" s="7">
        <v>0</v>
      </c>
      <c r="L12" s="8">
        <v>0</v>
      </c>
      <c r="M12" s="7">
        <v>0</v>
      </c>
      <c r="N12" s="8">
        <v>0</v>
      </c>
      <c r="O12" s="7">
        <v>0</v>
      </c>
      <c r="P12" s="3" t="s">
        <v>12</v>
      </c>
      <c r="Q12" s="9">
        <v>42657</v>
      </c>
      <c r="R12" s="7">
        <v>86.500999999999991</v>
      </c>
      <c r="S12" s="8">
        <v>6657</v>
      </c>
      <c r="T12" s="7">
        <v>13.499000000000009</v>
      </c>
    </row>
    <row r="13" spans="1:20" x14ac:dyDescent="0.2">
      <c r="A13" s="3" t="s">
        <v>13</v>
      </c>
      <c r="B13" s="9">
        <v>61032</v>
      </c>
      <c r="C13" s="7">
        <v>10.209999999999994</v>
      </c>
      <c r="D13" s="8">
        <v>22345</v>
      </c>
      <c r="E13" s="7">
        <v>3.7380999999999998</v>
      </c>
      <c r="F13" s="8">
        <v>0</v>
      </c>
      <c r="G13" s="7">
        <v>0</v>
      </c>
      <c r="H13" s="8">
        <v>0</v>
      </c>
      <c r="I13" s="7">
        <v>0</v>
      </c>
      <c r="J13" s="8">
        <v>514391</v>
      </c>
      <c r="K13" s="7">
        <v>86.051900000000003</v>
      </c>
      <c r="L13" s="8">
        <v>0</v>
      </c>
      <c r="M13" s="7">
        <v>0</v>
      </c>
      <c r="N13" s="8">
        <v>0</v>
      </c>
      <c r="O13" s="7">
        <v>0</v>
      </c>
      <c r="P13" s="3" t="s">
        <v>13</v>
      </c>
      <c r="Q13" s="9">
        <v>379739</v>
      </c>
      <c r="R13" s="2">
        <v>94.3887</v>
      </c>
      <c r="S13" s="8">
        <v>22575</v>
      </c>
      <c r="T13" s="2">
        <v>5.6113</v>
      </c>
    </row>
    <row r="14" spans="1:20" x14ac:dyDescent="0.2">
      <c r="A14" s="3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9"/>
      <c r="R14" s="2"/>
      <c r="S14" s="8"/>
      <c r="T14" s="2"/>
    </row>
    <row r="15" spans="1:20" x14ac:dyDescent="0.2">
      <c r="A15" s="3" t="s">
        <v>14</v>
      </c>
      <c r="B15" s="9">
        <v>409506</v>
      </c>
      <c r="C15" s="7">
        <v>64.701499999999996</v>
      </c>
      <c r="D15" s="8">
        <v>64452</v>
      </c>
      <c r="E15" s="7">
        <v>10.183300000000001</v>
      </c>
      <c r="F15" s="8">
        <v>0</v>
      </c>
      <c r="G15" s="7">
        <v>0</v>
      </c>
      <c r="H15" s="8">
        <v>0</v>
      </c>
      <c r="I15" s="7">
        <v>0</v>
      </c>
      <c r="J15" s="8">
        <v>0</v>
      </c>
      <c r="K15" s="7">
        <v>0</v>
      </c>
      <c r="L15" s="8">
        <v>0</v>
      </c>
      <c r="M15" s="7">
        <v>0</v>
      </c>
      <c r="N15" s="8">
        <v>158958</v>
      </c>
      <c r="O15" s="7">
        <v>25.115199999999998</v>
      </c>
      <c r="P15" s="3" t="s">
        <v>14</v>
      </c>
      <c r="Q15" s="9">
        <v>314808</v>
      </c>
      <c r="R15" s="2">
        <v>85.739500000000007</v>
      </c>
      <c r="S15" s="8">
        <v>52360</v>
      </c>
      <c r="T15" s="2">
        <v>14.260499999999993</v>
      </c>
    </row>
    <row r="16" spans="1:20" x14ac:dyDescent="0.2">
      <c r="A16" s="3" t="s">
        <v>15</v>
      </c>
      <c r="B16" s="19" t="s">
        <v>63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3" t="s">
        <v>15</v>
      </c>
      <c r="Q16" s="19" t="s">
        <v>63</v>
      </c>
      <c r="R16" s="19"/>
      <c r="S16" s="19"/>
      <c r="T16" s="20"/>
    </row>
    <row r="17" spans="1:20" x14ac:dyDescent="0.2">
      <c r="A17" s="3" t="s">
        <v>16</v>
      </c>
      <c r="B17" s="19" t="s">
        <v>63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3" t="s">
        <v>16</v>
      </c>
      <c r="Q17" s="19" t="s">
        <v>63</v>
      </c>
      <c r="R17" s="19"/>
      <c r="S17" s="19"/>
      <c r="T17" s="20"/>
    </row>
    <row r="18" spans="1:20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.75" x14ac:dyDescent="0.25">
      <c r="A19" s="4" t="s">
        <v>42</v>
      </c>
      <c r="B19" s="4"/>
    </row>
  </sheetData>
  <mergeCells count="11">
    <mergeCell ref="B8:O8"/>
    <mergeCell ref="B16:O16"/>
    <mergeCell ref="B17:O17"/>
    <mergeCell ref="Q16:T16"/>
    <mergeCell ref="Q17:T17"/>
    <mergeCell ref="Q8:T8"/>
    <mergeCell ref="A1:T1"/>
    <mergeCell ref="B3:O3"/>
    <mergeCell ref="B4:O4"/>
    <mergeCell ref="Q3:T3"/>
    <mergeCell ref="Q4:T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 Figure12a</vt:lpstr>
      <vt:lpstr>Supplementary  Figure12b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2026-05-23T08:05:17Z</dcterms:modified>
</cp:coreProperties>
</file>