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Fig5a" sheetId="1" r:id="rId1"/>
    <sheet name="Fig5b" sheetId="2" r:id="rId2"/>
    <sheet name="Fig5c-5d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47" i="2" l="1"/>
  <c r="W31" i="2"/>
  <c r="W46" i="2"/>
  <c r="W30" i="2"/>
  <c r="W45" i="2"/>
  <c r="W29" i="2"/>
  <c r="W44" i="2"/>
  <c r="W28" i="2"/>
  <c r="W43" i="2"/>
  <c r="W27" i="2"/>
  <c r="W42" i="2"/>
  <c r="W26" i="2"/>
  <c r="W41" i="2"/>
  <c r="W25" i="2"/>
  <c r="W40" i="2"/>
  <c r="W24" i="2"/>
  <c r="W39" i="2"/>
  <c r="W23" i="2"/>
  <c r="W38" i="2"/>
  <c r="W22" i="2"/>
  <c r="W37" i="2"/>
  <c r="W21" i="2"/>
  <c r="W36" i="2"/>
  <c r="W20" i="2"/>
  <c r="O47" i="2"/>
  <c r="O31" i="2"/>
  <c r="O46" i="2"/>
  <c r="O30" i="2"/>
  <c r="O45" i="2"/>
  <c r="O29" i="2"/>
  <c r="O44" i="2"/>
  <c r="O28" i="2"/>
  <c r="O43" i="2"/>
  <c r="O27" i="2"/>
  <c r="O42" i="2"/>
  <c r="O26" i="2"/>
  <c r="O41" i="2"/>
  <c r="O25" i="2"/>
  <c r="O40" i="2"/>
  <c r="O24" i="2"/>
  <c r="O39" i="2"/>
  <c r="O23" i="2"/>
  <c r="O38" i="2"/>
  <c r="O22" i="2"/>
  <c r="O37" i="2"/>
  <c r="O21" i="2"/>
  <c r="O36" i="2"/>
  <c r="O20" i="2"/>
  <c r="G47" i="2"/>
  <c r="G31" i="2"/>
  <c r="G46" i="2"/>
  <c r="G30" i="2"/>
  <c r="G45" i="2"/>
  <c r="G29" i="2"/>
  <c r="G44" i="2"/>
  <c r="G28" i="2"/>
  <c r="G43" i="2"/>
  <c r="G27" i="2"/>
  <c r="G42" i="2"/>
  <c r="G26" i="2"/>
  <c r="G41" i="2"/>
  <c r="G25" i="2"/>
  <c r="G40" i="2"/>
  <c r="G24" i="2"/>
  <c r="G39" i="2"/>
  <c r="G23" i="2"/>
  <c r="G38" i="2"/>
  <c r="G22" i="2"/>
  <c r="G37" i="2"/>
  <c r="G21" i="2"/>
  <c r="G36" i="2"/>
  <c r="G20" i="2"/>
  <c r="G5" i="2"/>
  <c r="G6" i="2"/>
  <c r="G7" i="2"/>
  <c r="G8" i="2"/>
  <c r="G9" i="2"/>
  <c r="G10" i="2"/>
  <c r="G11" i="2"/>
  <c r="G12" i="2"/>
  <c r="G13" i="2"/>
  <c r="G14" i="2"/>
  <c r="G15" i="2"/>
  <c r="W15" i="2"/>
  <c r="O15" i="2"/>
  <c r="W14" i="2"/>
  <c r="O14" i="2"/>
  <c r="W13" i="2"/>
  <c r="O13" i="2"/>
  <c r="W12" i="2"/>
  <c r="O12" i="2"/>
  <c r="W11" i="2"/>
  <c r="O11" i="2"/>
  <c r="W10" i="2"/>
  <c r="O10" i="2"/>
  <c r="W9" i="2"/>
  <c r="O9" i="2"/>
  <c r="W8" i="2"/>
  <c r="O8" i="2"/>
  <c r="W7" i="2"/>
  <c r="O7" i="2"/>
  <c r="W6" i="2"/>
  <c r="O6" i="2"/>
  <c r="W5" i="2"/>
  <c r="O5" i="2"/>
  <c r="W4" i="2"/>
  <c r="O4" i="2"/>
  <c r="G4" i="2"/>
  <c r="A16" i="1" l="1"/>
  <c r="A4" i="1"/>
</calcChain>
</file>

<file path=xl/sharedStrings.xml><?xml version="1.0" encoding="utf-8"?>
<sst xmlns="http://schemas.openxmlformats.org/spreadsheetml/2006/main" count="537" uniqueCount="86">
  <si>
    <t>Strain</t>
    <phoneticPr fontId="1" type="noConversion"/>
  </si>
  <si>
    <r>
      <t>μg ml</t>
    </r>
    <r>
      <rPr>
        <vertAlign val="superscript"/>
        <sz val="11"/>
        <color theme="1"/>
        <rFont val="等线"/>
        <family val="3"/>
        <charset val="134"/>
        <scheme val="minor"/>
      </rPr>
      <t>-1</t>
    </r>
    <phoneticPr fontId="1" type="noConversion"/>
  </si>
  <si>
    <t>3' SLN</t>
    <phoneticPr fontId="1" type="noConversion"/>
  </si>
  <si>
    <t>6' SLN</t>
    <phoneticPr fontId="1" type="noConversion"/>
  </si>
  <si>
    <t>α-2,3 variant (E190&amp;Q226)</t>
    <phoneticPr fontId="1" type="noConversion"/>
  </si>
  <si>
    <t>α-2,3&amp;α-2,6 variant(T190&amp;Q226)</t>
    <phoneticPr fontId="1" type="noConversion"/>
  </si>
  <si>
    <t>α-2,3 variant(E190&amp;Q226)）</t>
    <phoneticPr fontId="1" type="noConversion"/>
  </si>
  <si>
    <t>Sample</t>
    <phoneticPr fontId="1" type="noConversion"/>
  </si>
  <si>
    <t>Reporter</t>
  </si>
  <si>
    <t>Quencher</t>
  </si>
  <si>
    <t>Baseline Start</t>
  </si>
  <si>
    <t>Baseline End</t>
  </si>
  <si>
    <t>Copies/ml</t>
    <phoneticPr fontId="1" type="noConversion"/>
  </si>
  <si>
    <r>
      <t>Log</t>
    </r>
    <r>
      <rPr>
        <vertAlign val="subscript"/>
        <sz val="11"/>
        <color theme="1"/>
        <rFont val="等线"/>
        <family val="3"/>
        <charset val="134"/>
        <scheme val="minor"/>
      </rPr>
      <t>10</t>
    </r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2"/>
        <scheme val="minor"/>
      </rPr>
      <t>opies/ml</t>
    </r>
    <phoneticPr fontId="1" type="noConversion"/>
  </si>
  <si>
    <t>Copies/ml</t>
  </si>
  <si>
    <t>1dpi OS-1</t>
    <phoneticPr fontId="1" type="noConversion"/>
  </si>
  <si>
    <t>FAM</t>
  </si>
  <si>
    <t>TAMRA</t>
  </si>
  <si>
    <t>1dpi OS-2</t>
  </si>
  <si>
    <t>1dpi OS-3</t>
  </si>
  <si>
    <t>3dpi OS-1</t>
    <phoneticPr fontId="1" type="noConversion"/>
  </si>
  <si>
    <t>3dpi OS-2</t>
    <phoneticPr fontId="1" type="noConversion"/>
  </si>
  <si>
    <t>3dpi OS-3</t>
  </si>
  <si>
    <t>5dpi OS-1</t>
    <phoneticPr fontId="1" type="noConversion"/>
  </si>
  <si>
    <t>5dpi OS-2</t>
    <phoneticPr fontId="1" type="noConversion"/>
  </si>
  <si>
    <t>5dpi OS-3</t>
    <phoneticPr fontId="1" type="noConversion"/>
  </si>
  <si>
    <t>7dpi OS-1</t>
    <phoneticPr fontId="1" type="noConversion"/>
  </si>
  <si>
    <t>7dpi OS-2</t>
    <phoneticPr fontId="1" type="noConversion"/>
  </si>
  <si>
    <t>7dpi OS-3</t>
    <phoneticPr fontId="1" type="noConversion"/>
  </si>
  <si>
    <t>α-2,6 WT virus (T190&amp;L226)</t>
    <phoneticPr fontId="1" type="noConversion"/>
  </si>
  <si>
    <t>α-2,3&amp;2,6 variant (T190&amp;Q226)</t>
    <phoneticPr fontId="1" type="noConversion"/>
  </si>
  <si>
    <t>Oral swab</t>
    <phoneticPr fontId="1" type="noConversion"/>
  </si>
  <si>
    <t>Palate</t>
    <phoneticPr fontId="1" type="noConversion"/>
  </si>
  <si>
    <t>BaselIntranasale Start</t>
  </si>
  <si>
    <t>BaselIntranasale End</t>
  </si>
  <si>
    <t>Copies/g</t>
    <phoneticPr fontId="1" type="noConversion"/>
  </si>
  <si>
    <r>
      <t>Log</t>
    </r>
    <r>
      <rPr>
        <vertAlign val="subscript"/>
        <sz val="11"/>
        <color theme="1"/>
        <rFont val="等线"/>
        <family val="3"/>
        <charset val="134"/>
        <scheme val="minor"/>
      </rPr>
      <t>10</t>
    </r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2"/>
        <scheme val="minor"/>
      </rPr>
      <t>opies/g</t>
    </r>
    <phoneticPr fontId="1" type="noConversion"/>
  </si>
  <si>
    <t>1dpi-Palate-1</t>
    <phoneticPr fontId="1" type="noConversion"/>
  </si>
  <si>
    <t>1dpi-Lung-1</t>
    <phoneticPr fontId="1" type="noConversion"/>
  </si>
  <si>
    <t>1dpi-Palate-2</t>
  </si>
  <si>
    <t>1dpi-Lung-2</t>
    <phoneticPr fontId="1" type="noConversion"/>
  </si>
  <si>
    <t>1dpi-Palate-3</t>
  </si>
  <si>
    <t>1dpi-Lung-3</t>
    <phoneticPr fontId="1" type="noConversion"/>
  </si>
  <si>
    <t>3dpi-Palate-1</t>
  </si>
  <si>
    <t>3dpi-Lung-1</t>
    <phoneticPr fontId="1" type="noConversion"/>
  </si>
  <si>
    <t>3dpi-Palate-2</t>
  </si>
  <si>
    <t>3dpi-Lung-2</t>
    <phoneticPr fontId="1" type="noConversion"/>
  </si>
  <si>
    <t>3dpi-Palate-3</t>
  </si>
  <si>
    <t>3dpi-Lung-3</t>
    <phoneticPr fontId="1" type="noConversion"/>
  </si>
  <si>
    <t>5dpi-Palate-1</t>
  </si>
  <si>
    <t>5dpi-Lung-1</t>
    <phoneticPr fontId="1" type="noConversion"/>
  </si>
  <si>
    <t>5dpi-Palate-2</t>
  </si>
  <si>
    <t>5dpi-Lung-2</t>
    <phoneticPr fontId="1" type="noConversion"/>
  </si>
  <si>
    <t>5dpi-Palate-3</t>
  </si>
  <si>
    <t>5dpi-Lung-3</t>
    <phoneticPr fontId="1" type="noConversion"/>
  </si>
  <si>
    <t>7dpi-Palate-1</t>
  </si>
  <si>
    <t>7dpi-Lung-1</t>
    <phoneticPr fontId="1" type="noConversion"/>
  </si>
  <si>
    <t>7dpi-Palate-2</t>
  </si>
  <si>
    <t>7dpi-Lung-2</t>
    <phoneticPr fontId="1" type="noConversion"/>
  </si>
  <si>
    <t>7dpi-Palate-3</t>
  </si>
  <si>
    <t>7dpi-Lung-3</t>
    <phoneticPr fontId="1" type="noConversion"/>
  </si>
  <si>
    <t>1dpi-Palate-1</t>
  </si>
  <si>
    <t>Lung</t>
    <phoneticPr fontId="1" type="noConversion"/>
  </si>
  <si>
    <t>α-2,6 WT virus (T190&amp;L226)</t>
  </si>
  <si>
    <t>Days post infection</t>
    <phoneticPr fontId="1" type="noConversion"/>
  </si>
  <si>
    <t>Percent(Q226)</t>
    <phoneticPr fontId="1" type="noConversion"/>
  </si>
  <si>
    <t>Percent(L226)</t>
    <phoneticPr fontId="1" type="noConversion"/>
  </si>
  <si>
    <t>Percent(T190)</t>
    <phoneticPr fontId="1" type="noConversion"/>
  </si>
  <si>
    <t>Percent(E190)</t>
    <phoneticPr fontId="1" type="noConversion"/>
  </si>
  <si>
    <t>Percent(K190)</t>
    <phoneticPr fontId="1" type="noConversion"/>
  </si>
  <si>
    <t>Percent(A190)</t>
    <phoneticPr fontId="1" type="noConversion"/>
  </si>
  <si>
    <t>Percent(R190)</t>
    <phoneticPr fontId="1" type="noConversion"/>
  </si>
  <si>
    <t>Percent(G190)</t>
    <phoneticPr fontId="1" type="noConversion"/>
  </si>
  <si>
    <t>Percent(V190)</t>
    <phoneticPr fontId="1" type="noConversion"/>
  </si>
  <si>
    <t>α-2,3&amp;2,6 variant (T190&amp;Q226)</t>
    <phoneticPr fontId="1" type="noConversion"/>
  </si>
  <si>
    <t>α-2,3 variant (E190&amp;Q226)</t>
    <phoneticPr fontId="1" type="noConversion"/>
  </si>
  <si>
    <t>Palate</t>
    <phoneticPr fontId="1" type="noConversion"/>
  </si>
  <si>
    <t>Lung</t>
    <phoneticPr fontId="1" type="noConversion"/>
  </si>
  <si>
    <t>1dpi</t>
  </si>
  <si>
    <t>1dpi</t>
    <phoneticPr fontId="1" type="noConversion"/>
  </si>
  <si>
    <t>3dpi</t>
  </si>
  <si>
    <t>3dpi</t>
    <phoneticPr fontId="1" type="noConversion"/>
  </si>
  <si>
    <t>5dpi</t>
  </si>
  <si>
    <t>5dpi</t>
    <phoneticPr fontId="1" type="noConversion"/>
  </si>
  <si>
    <t>7dpi</t>
  </si>
  <si>
    <t>7dpi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</si>
</sst>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"/>
    <numFmt numFmtId="177" formatCode="0.000000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vertAlign val="superscript"/>
      <sz val="11"/>
      <color theme="1"/>
      <name val="等线"/>
      <family val="3"/>
      <charset val="134"/>
      <scheme val="minor"/>
    </font>
    <font>
      <sz val="11"/>
      <name val="等线"/>
      <family val="2"/>
      <scheme val="minor"/>
    </font>
    <font>
      <vertAlign val="subscript"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176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2" fontId="0" fillId="0" borderId="1" xfId="0" applyNumberFormat="1" applyBorder="1" applyAlignment="1">
      <alignment horizontal="left"/>
    </xf>
    <xf numFmtId="177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0" xfId="0" applyFill="1"/>
    <xf numFmtId="0" fontId="0" fillId="0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6" fillId="3" borderId="2" xfId="0" applyFon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selection activeCell="F30" sqref="F30"/>
    </sheetView>
  </sheetViews>
  <sheetFormatPr defaultRowHeight="14.25" x14ac:dyDescent="0.2"/>
  <sheetData>
    <row r="1" spans="1:7" x14ac:dyDescent="0.2">
      <c r="A1" s="1" t="s">
        <v>0</v>
      </c>
      <c r="B1" s="13" t="s">
        <v>5</v>
      </c>
      <c r="C1" s="13"/>
      <c r="D1" s="13"/>
      <c r="E1" s="13"/>
      <c r="F1" s="13"/>
      <c r="G1" s="13"/>
    </row>
    <row r="2" spans="1:7" ht="16.5" x14ac:dyDescent="0.2">
      <c r="A2" s="2" t="s">
        <v>1</v>
      </c>
      <c r="B2" s="14" t="s">
        <v>2</v>
      </c>
      <c r="C2" s="14"/>
      <c r="D2" s="14"/>
      <c r="E2" s="14" t="s">
        <v>3</v>
      </c>
      <c r="F2" s="14"/>
      <c r="G2" s="14"/>
    </row>
    <row r="3" spans="1:7" x14ac:dyDescent="0.2">
      <c r="A3" s="4">
        <v>0</v>
      </c>
      <c r="B3" s="2">
        <v>0.14099999999999999</v>
      </c>
      <c r="C3" s="2">
        <v>0.1421</v>
      </c>
      <c r="D3" s="2">
        <v>0.1401</v>
      </c>
      <c r="E3" s="2">
        <v>0.14399999999999999</v>
      </c>
      <c r="F3" s="2">
        <v>0.1424</v>
      </c>
      <c r="G3" s="2">
        <v>0.1434</v>
      </c>
    </row>
    <row r="4" spans="1:7" x14ac:dyDescent="0.2">
      <c r="A4" s="4">
        <f>A5/2</f>
        <v>0.15625</v>
      </c>
      <c r="B4" s="2">
        <v>0.151</v>
      </c>
      <c r="C4" s="2">
        <v>0.15210000000000001</v>
      </c>
      <c r="D4" s="2">
        <v>0.15909999999999999</v>
      </c>
      <c r="E4" s="2">
        <v>0.14299999999999999</v>
      </c>
      <c r="F4" s="2">
        <v>0.14630000000000001</v>
      </c>
      <c r="G4" s="2">
        <v>0.14319999999999999</v>
      </c>
    </row>
    <row r="5" spans="1:7" x14ac:dyDescent="0.2">
      <c r="A5" s="4">
        <v>0.3125</v>
      </c>
      <c r="B5" s="2">
        <v>0.20699999999999999</v>
      </c>
      <c r="C5" s="2">
        <v>0.20169999999999999</v>
      </c>
      <c r="D5" s="2">
        <v>0.20269999999999999</v>
      </c>
      <c r="E5" s="2">
        <v>0.129</v>
      </c>
      <c r="F5" s="2">
        <v>0.12909999999999999</v>
      </c>
      <c r="G5" s="2">
        <v>0.12089999999999999</v>
      </c>
    </row>
    <row r="6" spans="1:7" x14ac:dyDescent="0.2">
      <c r="A6" s="4">
        <v>0.625</v>
      </c>
      <c r="B6" s="2">
        <v>0.41899999999999998</v>
      </c>
      <c r="C6" s="2">
        <v>0.41289999999999999</v>
      </c>
      <c r="D6" s="2">
        <v>0.4199</v>
      </c>
      <c r="E6" s="2">
        <v>0.14099999999999999</v>
      </c>
      <c r="F6" s="2">
        <v>0.1321</v>
      </c>
      <c r="G6" s="2">
        <v>0.14510000000000001</v>
      </c>
    </row>
    <row r="7" spans="1:7" x14ac:dyDescent="0.2">
      <c r="A7" s="4">
        <v>1.25</v>
      </c>
      <c r="B7" s="2">
        <v>1.093</v>
      </c>
      <c r="C7" s="2">
        <v>1.0980000000000001</v>
      </c>
      <c r="D7" s="2">
        <v>1.099</v>
      </c>
      <c r="E7" s="2">
        <v>0.192</v>
      </c>
      <c r="F7" s="2">
        <v>0.19450000000000001</v>
      </c>
      <c r="G7" s="2">
        <v>0.19650000000000001</v>
      </c>
    </row>
    <row r="8" spans="1:7" x14ac:dyDescent="0.2">
      <c r="A8" s="4">
        <v>2.5</v>
      </c>
      <c r="B8" s="2">
        <v>2.6789999999999998</v>
      </c>
      <c r="C8" s="2">
        <v>2.681</v>
      </c>
      <c r="D8" s="2">
        <v>2.6739999999999999</v>
      </c>
      <c r="E8" s="2">
        <v>0.85399999999999998</v>
      </c>
      <c r="F8" s="2">
        <v>0.85140000000000005</v>
      </c>
      <c r="G8" s="2">
        <v>0.85640000000000005</v>
      </c>
    </row>
    <row r="9" spans="1:7" x14ac:dyDescent="0.2">
      <c r="A9" s="4">
        <v>5</v>
      </c>
      <c r="B9" s="2">
        <v>2.5819999999999999</v>
      </c>
      <c r="C9" s="2">
        <v>2.5720000000000001</v>
      </c>
      <c r="D9" s="2">
        <v>2.5811999999999999</v>
      </c>
      <c r="E9" s="2">
        <v>2.8039999999999998</v>
      </c>
      <c r="F9" s="2">
        <v>2.8024</v>
      </c>
      <c r="G9" s="2">
        <v>2.8043999999999998</v>
      </c>
    </row>
    <row r="10" spans="1:7" x14ac:dyDescent="0.2">
      <c r="A10" s="4">
        <v>10</v>
      </c>
      <c r="B10" s="2">
        <v>2.669</v>
      </c>
      <c r="C10" s="2">
        <v>2.6709999999999998</v>
      </c>
      <c r="D10" s="2">
        <v>2.6779999999999999</v>
      </c>
      <c r="E10" s="2">
        <v>2.7589999999999999</v>
      </c>
      <c r="F10" s="2">
        <v>2.7629999999999999</v>
      </c>
      <c r="G10" s="2">
        <v>2.7650000000000001</v>
      </c>
    </row>
    <row r="11" spans="1:7" x14ac:dyDescent="0.2">
      <c r="A11" s="2"/>
      <c r="B11" s="2"/>
      <c r="C11" s="2"/>
      <c r="D11" s="2"/>
      <c r="E11" s="2"/>
      <c r="F11" s="2"/>
      <c r="G11" s="2"/>
    </row>
    <row r="13" spans="1:7" x14ac:dyDescent="0.2">
      <c r="A13" s="1" t="s">
        <v>0</v>
      </c>
      <c r="B13" s="15" t="s">
        <v>6</v>
      </c>
      <c r="C13" s="13"/>
      <c r="D13" s="13"/>
      <c r="E13" s="13"/>
      <c r="F13" s="13"/>
      <c r="G13" s="13"/>
    </row>
    <row r="14" spans="1:7" ht="16.5" x14ac:dyDescent="0.2">
      <c r="A14" s="2" t="s">
        <v>1</v>
      </c>
      <c r="B14" s="14" t="s">
        <v>2</v>
      </c>
      <c r="C14" s="14"/>
      <c r="D14" s="14"/>
      <c r="E14" s="14" t="s">
        <v>3</v>
      </c>
      <c r="F14" s="14"/>
      <c r="G14" s="14"/>
    </row>
    <row r="15" spans="1:7" x14ac:dyDescent="0.2">
      <c r="A15" s="4">
        <v>0</v>
      </c>
      <c r="B15" s="3">
        <v>0.1079</v>
      </c>
      <c r="C15" s="3">
        <v>0.1085</v>
      </c>
      <c r="D15" s="3">
        <v>0.1086</v>
      </c>
      <c r="E15" s="3">
        <v>9.3799999999999994E-2</v>
      </c>
      <c r="F15" s="3">
        <v>9.4200000000000006E-2</v>
      </c>
      <c r="G15" s="3">
        <v>9.4299999999999995E-2</v>
      </c>
    </row>
    <row r="16" spans="1:7" x14ac:dyDescent="0.2">
      <c r="A16" s="4">
        <f>A17/2</f>
        <v>0.15625</v>
      </c>
      <c r="B16" s="3">
        <v>7.9399999999999998E-2</v>
      </c>
      <c r="C16" s="3">
        <v>7.9699999999999993E-2</v>
      </c>
      <c r="D16" s="3">
        <v>7.9699999999999993E-2</v>
      </c>
      <c r="E16" s="3">
        <v>8.3500000000000005E-2</v>
      </c>
      <c r="F16" s="3">
        <v>8.3799999999999999E-2</v>
      </c>
      <c r="G16" s="3">
        <v>8.3799999999999999E-2</v>
      </c>
    </row>
    <row r="17" spans="1:7" x14ac:dyDescent="0.2">
      <c r="A17" s="4">
        <v>0.3125</v>
      </c>
      <c r="B17" s="3">
        <v>7.9000000000000001E-2</v>
      </c>
      <c r="C17" s="3">
        <v>0.10290000000000001</v>
      </c>
      <c r="D17" s="3">
        <v>0.10290000000000001</v>
      </c>
      <c r="E17" s="3">
        <v>9.9500000000000005E-2</v>
      </c>
      <c r="F17" s="3">
        <v>9.2200000000000004E-2</v>
      </c>
      <c r="G17" s="3">
        <v>9.2600000000000002E-2</v>
      </c>
    </row>
    <row r="18" spans="1:7" x14ac:dyDescent="0.2">
      <c r="A18" s="4">
        <v>0.625</v>
      </c>
      <c r="B18" s="3">
        <v>7.6899999999999996E-2</v>
      </c>
      <c r="C18" s="3">
        <v>9.5399999999999999E-2</v>
      </c>
      <c r="D18" s="3">
        <v>7.7299999999999994E-2</v>
      </c>
      <c r="E18" s="3">
        <v>7.6999999999999999E-2</v>
      </c>
      <c r="F18" s="3">
        <v>7.6899999999999996E-2</v>
      </c>
      <c r="G18" s="3">
        <v>7.7399999999999997E-2</v>
      </c>
    </row>
    <row r="19" spans="1:7" x14ac:dyDescent="0.2">
      <c r="A19" s="4">
        <v>1.25</v>
      </c>
      <c r="B19" s="3">
        <v>8.6400000000000005E-2</v>
      </c>
      <c r="C19" s="3">
        <v>8.6699999999999999E-2</v>
      </c>
      <c r="D19" s="3">
        <v>8.6599999999999996E-2</v>
      </c>
      <c r="E19" s="3">
        <v>0.08</v>
      </c>
      <c r="F19" s="3">
        <v>8.0299999999999996E-2</v>
      </c>
      <c r="G19" s="3">
        <v>8.0299999999999996E-2</v>
      </c>
    </row>
    <row r="20" spans="1:7" x14ac:dyDescent="0.2">
      <c r="A20" s="4">
        <v>2.5</v>
      </c>
      <c r="B20" s="3">
        <v>0.24859999999999999</v>
      </c>
      <c r="C20" s="3">
        <v>0.24929999999999999</v>
      </c>
      <c r="D20" s="3">
        <v>0.24909999999999999</v>
      </c>
      <c r="E20" s="3">
        <v>7.9100000000000004E-2</v>
      </c>
      <c r="F20" s="3">
        <v>7.9299999999999995E-2</v>
      </c>
      <c r="G20" s="3">
        <v>7.9399999999999998E-2</v>
      </c>
    </row>
    <row r="21" spans="1:7" x14ac:dyDescent="0.2">
      <c r="A21" s="4">
        <v>5</v>
      </c>
      <c r="B21" s="3">
        <v>0.81610000000000005</v>
      </c>
      <c r="C21" s="3">
        <v>0.8165</v>
      </c>
      <c r="D21" s="3">
        <v>0.81630000000000003</v>
      </c>
      <c r="E21" s="3">
        <v>8.4699999999999998E-2</v>
      </c>
      <c r="F21" s="3">
        <v>8.4900000000000003E-2</v>
      </c>
      <c r="G21" s="3">
        <v>8.4900000000000003E-2</v>
      </c>
    </row>
    <row r="22" spans="1:7" x14ac:dyDescent="0.2">
      <c r="A22" s="4">
        <v>10</v>
      </c>
      <c r="B22" s="3">
        <v>1.0974999999999999</v>
      </c>
      <c r="C22" s="3">
        <v>1.0989</v>
      </c>
      <c r="D22" s="3">
        <v>1.0972999999999999</v>
      </c>
      <c r="E22" s="3">
        <v>9.2200000000000004E-2</v>
      </c>
      <c r="F22" s="3">
        <v>9.2600000000000002E-2</v>
      </c>
      <c r="G22" s="3">
        <v>9.2499999999999999E-2</v>
      </c>
    </row>
    <row r="23" spans="1:7" x14ac:dyDescent="0.2">
      <c r="A23" s="2"/>
      <c r="B23" s="2"/>
      <c r="C23" s="2"/>
      <c r="D23" s="2"/>
      <c r="E23" s="2"/>
      <c r="F23" s="2"/>
      <c r="G23" s="2"/>
    </row>
  </sheetData>
  <mergeCells count="6">
    <mergeCell ref="B1:G1"/>
    <mergeCell ref="B2:D2"/>
    <mergeCell ref="E2:G2"/>
    <mergeCell ref="B13:G13"/>
    <mergeCell ref="B14:D14"/>
    <mergeCell ref="E14:G14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3"/>
  <sheetViews>
    <sheetView zoomScale="85" zoomScaleNormal="85" workbookViewId="0">
      <selection activeCell="A17" sqref="A17:W17"/>
    </sheetView>
  </sheetViews>
  <sheetFormatPr defaultRowHeight="14.25" x14ac:dyDescent="0.2"/>
  <cols>
    <col min="1" max="1" width="13.625" customWidth="1"/>
    <col min="6" max="6" width="13.875" customWidth="1"/>
    <col min="7" max="7" width="13.25" customWidth="1"/>
    <col min="8" max="8" width="4.625" customWidth="1"/>
    <col min="9" max="9" width="13" customWidth="1"/>
    <col min="13" max="13" width="11.125" customWidth="1"/>
    <col min="14" max="14" width="12.875" customWidth="1"/>
    <col min="15" max="15" width="13.25" customWidth="1"/>
    <col min="16" max="16" width="5.5" customWidth="1"/>
    <col min="17" max="17" width="12.875" customWidth="1"/>
    <col min="19" max="19" width="9.375" bestFit="1" customWidth="1"/>
    <col min="20" max="20" width="11.75" customWidth="1"/>
    <col min="21" max="21" width="10.875" customWidth="1"/>
    <col min="22" max="22" width="12.125" bestFit="1" customWidth="1"/>
    <col min="23" max="23" width="13.75" customWidth="1"/>
  </cols>
  <sheetData>
    <row r="1" spans="1:23" x14ac:dyDescent="0.2">
      <c r="A1" s="16" t="s">
        <v>31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x14ac:dyDescent="0.2">
      <c r="A2" s="17" t="s">
        <v>29</v>
      </c>
      <c r="B2" s="17"/>
      <c r="C2" s="17"/>
      <c r="D2" s="17"/>
      <c r="E2" s="17"/>
      <c r="F2" s="17"/>
      <c r="G2" s="17"/>
      <c r="H2" s="5"/>
      <c r="I2" s="17" t="s">
        <v>30</v>
      </c>
      <c r="J2" s="17"/>
      <c r="K2" s="17"/>
      <c r="L2" s="17"/>
      <c r="M2" s="17"/>
      <c r="N2" s="17"/>
      <c r="O2" s="17"/>
      <c r="P2" s="5"/>
      <c r="Q2" s="17" t="s">
        <v>4</v>
      </c>
      <c r="R2" s="17"/>
      <c r="S2" s="17"/>
      <c r="T2" s="17"/>
      <c r="U2" s="17"/>
      <c r="V2" s="17"/>
      <c r="W2" s="17"/>
    </row>
    <row r="3" spans="1:23" ht="17.25" x14ac:dyDescent="0.3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/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/>
      <c r="Q3" s="5" t="s">
        <v>7</v>
      </c>
      <c r="R3" s="5" t="s">
        <v>8</v>
      </c>
      <c r="S3" s="5" t="s">
        <v>9</v>
      </c>
      <c r="T3" s="5" t="s">
        <v>10</v>
      </c>
      <c r="U3" s="5" t="s">
        <v>11</v>
      </c>
      <c r="V3" s="5" t="s">
        <v>14</v>
      </c>
      <c r="W3" s="5" t="s">
        <v>13</v>
      </c>
    </row>
    <row r="4" spans="1:23" x14ac:dyDescent="0.2">
      <c r="A4" s="5" t="s">
        <v>15</v>
      </c>
      <c r="B4" s="5" t="s">
        <v>16</v>
      </c>
      <c r="C4" s="5" t="s">
        <v>17</v>
      </c>
      <c r="D4" s="5">
        <v>1</v>
      </c>
      <c r="E4" s="5">
        <v>40</v>
      </c>
      <c r="F4" s="7">
        <v>669060</v>
      </c>
      <c r="G4" s="8">
        <f>LOG10(F4)</f>
        <v>5.8254650661990324</v>
      </c>
      <c r="H4" s="5"/>
      <c r="I4" s="5" t="s">
        <v>15</v>
      </c>
      <c r="J4" s="5" t="s">
        <v>16</v>
      </c>
      <c r="K4" s="5" t="s">
        <v>17</v>
      </c>
      <c r="L4" s="5">
        <v>1</v>
      </c>
      <c r="M4" s="5">
        <v>40</v>
      </c>
      <c r="N4" s="7">
        <v>300</v>
      </c>
      <c r="O4" s="8">
        <f>LOG10(N4)</f>
        <v>2.4771212547196626</v>
      </c>
      <c r="P4" s="5"/>
      <c r="Q4" s="5" t="s">
        <v>15</v>
      </c>
      <c r="R4" s="5" t="s">
        <v>16</v>
      </c>
      <c r="S4" s="5" t="s">
        <v>17</v>
      </c>
      <c r="T4" s="5">
        <v>1</v>
      </c>
      <c r="U4" s="5">
        <v>40</v>
      </c>
      <c r="V4" s="7">
        <v>3900</v>
      </c>
      <c r="W4" s="8">
        <f>LOG10(V4)</f>
        <v>3.5910646070264991</v>
      </c>
    </row>
    <row r="5" spans="1:23" x14ac:dyDescent="0.2">
      <c r="A5" s="5" t="s">
        <v>18</v>
      </c>
      <c r="B5" s="5" t="s">
        <v>16</v>
      </c>
      <c r="C5" s="5" t="s">
        <v>17</v>
      </c>
      <c r="D5" s="5">
        <v>1</v>
      </c>
      <c r="E5" s="5">
        <v>40</v>
      </c>
      <c r="F5" s="7">
        <v>14771460</v>
      </c>
      <c r="G5" s="8">
        <f t="shared" ref="G5:G15" si="0">LOG10(F5)</f>
        <v>7.1694234227734963</v>
      </c>
      <c r="H5" s="5"/>
      <c r="I5" s="5" t="s">
        <v>18</v>
      </c>
      <c r="J5" s="5" t="s">
        <v>16</v>
      </c>
      <c r="K5" s="5" t="s">
        <v>17</v>
      </c>
      <c r="L5" s="5">
        <v>1</v>
      </c>
      <c r="M5" s="5">
        <v>40</v>
      </c>
      <c r="N5" s="7">
        <v>60</v>
      </c>
      <c r="O5" s="8">
        <f t="shared" ref="O5:O6" si="1">LOG10(N5)</f>
        <v>1.7781512503836436</v>
      </c>
      <c r="P5" s="5"/>
      <c r="Q5" s="5" t="s">
        <v>18</v>
      </c>
      <c r="R5" s="5" t="s">
        <v>16</v>
      </c>
      <c r="S5" s="5" t="s">
        <v>17</v>
      </c>
      <c r="T5" s="5">
        <v>1</v>
      </c>
      <c r="U5" s="5">
        <v>40</v>
      </c>
      <c r="V5" s="7">
        <v>3026100</v>
      </c>
      <c r="W5" s="8">
        <f t="shared" ref="W5:W15" si="2">LOG10(V5)</f>
        <v>6.4808832755479084</v>
      </c>
    </row>
    <row r="6" spans="1:23" x14ac:dyDescent="0.2">
      <c r="A6" s="5" t="s">
        <v>19</v>
      </c>
      <c r="B6" s="5" t="s">
        <v>16</v>
      </c>
      <c r="C6" s="5" t="s">
        <v>17</v>
      </c>
      <c r="D6" s="5">
        <v>1</v>
      </c>
      <c r="E6" s="5">
        <v>40</v>
      </c>
      <c r="F6" s="7">
        <v>3747420</v>
      </c>
      <c r="G6" s="8">
        <f t="shared" si="0"/>
        <v>6.5737323702916575</v>
      </c>
      <c r="H6" s="5"/>
      <c r="I6" s="5" t="s">
        <v>19</v>
      </c>
      <c r="J6" s="5" t="s">
        <v>16</v>
      </c>
      <c r="K6" s="5" t="s">
        <v>17</v>
      </c>
      <c r="L6" s="5">
        <v>1</v>
      </c>
      <c r="M6" s="5">
        <v>40</v>
      </c>
      <c r="N6" s="7">
        <v>1287240</v>
      </c>
      <c r="O6" s="8">
        <f t="shared" si="1"/>
        <v>6.1096595266700326</v>
      </c>
      <c r="P6" s="5"/>
      <c r="Q6" s="5" t="s">
        <v>19</v>
      </c>
      <c r="R6" s="5" t="s">
        <v>16</v>
      </c>
      <c r="S6" s="5" t="s">
        <v>17</v>
      </c>
      <c r="T6" s="5">
        <v>1</v>
      </c>
      <c r="U6" s="5">
        <v>40</v>
      </c>
      <c r="V6" s="7">
        <v>17940</v>
      </c>
      <c r="W6" s="8">
        <f t="shared" si="2"/>
        <v>4.253822438708073</v>
      </c>
    </row>
    <row r="7" spans="1:23" x14ac:dyDescent="0.2">
      <c r="A7" s="5" t="s">
        <v>20</v>
      </c>
      <c r="B7" s="5" t="s">
        <v>16</v>
      </c>
      <c r="C7" s="5" t="s">
        <v>17</v>
      </c>
      <c r="D7" s="5">
        <v>1</v>
      </c>
      <c r="E7" s="5">
        <v>40</v>
      </c>
      <c r="F7" s="7">
        <v>950940</v>
      </c>
      <c r="G7" s="8">
        <f t="shared" si="0"/>
        <v>5.9781531157902457</v>
      </c>
      <c r="H7" s="6"/>
      <c r="I7" s="5" t="s">
        <v>20</v>
      </c>
      <c r="J7" s="5" t="s">
        <v>16</v>
      </c>
      <c r="K7" s="5" t="s">
        <v>17</v>
      </c>
      <c r="L7" s="5">
        <v>1</v>
      </c>
      <c r="M7" s="5">
        <v>40</v>
      </c>
      <c r="N7" s="7">
        <v>300</v>
      </c>
      <c r="O7" s="8">
        <f t="shared" ref="O7:O15" si="3">LOG10(N7)</f>
        <v>2.4771212547196626</v>
      </c>
      <c r="P7" s="6"/>
      <c r="Q7" s="5" t="s">
        <v>20</v>
      </c>
      <c r="R7" s="5" t="s">
        <v>16</v>
      </c>
      <c r="S7" s="5" t="s">
        <v>17</v>
      </c>
      <c r="T7" s="5">
        <v>1</v>
      </c>
      <c r="U7" s="5">
        <v>40</v>
      </c>
      <c r="V7" s="7">
        <v>60</v>
      </c>
      <c r="W7" s="8">
        <f t="shared" si="2"/>
        <v>1.7781512503836436</v>
      </c>
    </row>
    <row r="8" spans="1:23" x14ac:dyDescent="0.2">
      <c r="A8" s="5" t="s">
        <v>21</v>
      </c>
      <c r="B8" s="5" t="s">
        <v>16</v>
      </c>
      <c r="C8" s="5" t="s">
        <v>17</v>
      </c>
      <c r="D8" s="5">
        <v>1</v>
      </c>
      <c r="E8" s="5">
        <v>40</v>
      </c>
      <c r="F8" s="7">
        <v>3481200</v>
      </c>
      <c r="G8" s="8">
        <f t="shared" si="0"/>
        <v>6.5417289748502894</v>
      </c>
      <c r="H8" s="6"/>
      <c r="I8" s="5" t="s">
        <v>21</v>
      </c>
      <c r="J8" s="5" t="s">
        <v>16</v>
      </c>
      <c r="K8" s="5" t="s">
        <v>17</v>
      </c>
      <c r="L8" s="5">
        <v>1</v>
      </c>
      <c r="M8" s="5">
        <v>40</v>
      </c>
      <c r="N8" s="7">
        <v>60</v>
      </c>
      <c r="O8" s="8">
        <f t="shared" si="3"/>
        <v>1.7781512503836436</v>
      </c>
      <c r="P8" s="6"/>
      <c r="Q8" s="5" t="s">
        <v>21</v>
      </c>
      <c r="R8" s="5" t="s">
        <v>16</v>
      </c>
      <c r="S8" s="5" t="s">
        <v>17</v>
      </c>
      <c r="T8" s="5">
        <v>1</v>
      </c>
      <c r="U8" s="5">
        <v>40</v>
      </c>
      <c r="V8" s="7">
        <v>325980</v>
      </c>
      <c r="W8" s="8">
        <f t="shared" si="2"/>
        <v>5.5131909554173646</v>
      </c>
    </row>
    <row r="9" spans="1:23" x14ac:dyDescent="0.2">
      <c r="A9" s="5" t="s">
        <v>22</v>
      </c>
      <c r="B9" s="5" t="s">
        <v>16</v>
      </c>
      <c r="C9" s="5" t="s">
        <v>17</v>
      </c>
      <c r="D9" s="5">
        <v>1</v>
      </c>
      <c r="E9" s="5">
        <v>40</v>
      </c>
      <c r="F9" s="7">
        <v>4486320</v>
      </c>
      <c r="G9" s="8">
        <f t="shared" si="0"/>
        <v>6.6518902476860298</v>
      </c>
      <c r="H9" s="6"/>
      <c r="I9" s="5" t="s">
        <v>22</v>
      </c>
      <c r="J9" s="5" t="s">
        <v>16</v>
      </c>
      <c r="K9" s="5" t="s">
        <v>17</v>
      </c>
      <c r="L9" s="5">
        <v>1</v>
      </c>
      <c r="M9" s="5">
        <v>40</v>
      </c>
      <c r="N9" s="7">
        <v>210540</v>
      </c>
      <c r="O9" s="8">
        <f t="shared" si="3"/>
        <v>5.3233346185990502</v>
      </c>
      <c r="P9" s="6"/>
      <c r="Q9" s="5" t="s">
        <v>22</v>
      </c>
      <c r="R9" s="5" t="s">
        <v>16</v>
      </c>
      <c r="S9" s="5" t="s">
        <v>17</v>
      </c>
      <c r="T9" s="5">
        <v>1</v>
      </c>
      <c r="U9" s="5">
        <v>40</v>
      </c>
      <c r="V9" s="7">
        <v>4920</v>
      </c>
      <c r="W9" s="8">
        <f t="shared" si="2"/>
        <v>3.6919651027673601</v>
      </c>
    </row>
    <row r="10" spans="1:23" x14ac:dyDescent="0.2">
      <c r="A10" s="6" t="s">
        <v>23</v>
      </c>
      <c r="B10" s="5" t="s">
        <v>16</v>
      </c>
      <c r="C10" s="5" t="s">
        <v>17</v>
      </c>
      <c r="D10" s="5">
        <v>1</v>
      </c>
      <c r="E10" s="5">
        <v>40</v>
      </c>
      <c r="F10" s="7">
        <v>772920</v>
      </c>
      <c r="G10" s="8">
        <f t="shared" si="0"/>
        <v>5.8881345452035356</v>
      </c>
      <c r="H10" s="6"/>
      <c r="I10" s="6" t="s">
        <v>23</v>
      </c>
      <c r="J10" s="5" t="s">
        <v>16</v>
      </c>
      <c r="K10" s="5" t="s">
        <v>17</v>
      </c>
      <c r="L10" s="5">
        <v>1</v>
      </c>
      <c r="M10" s="5">
        <v>40</v>
      </c>
      <c r="N10" s="7">
        <v>60</v>
      </c>
      <c r="O10" s="8">
        <f t="shared" si="3"/>
        <v>1.7781512503836436</v>
      </c>
      <c r="P10" s="6"/>
      <c r="Q10" s="6" t="s">
        <v>23</v>
      </c>
      <c r="R10" s="5" t="s">
        <v>16</v>
      </c>
      <c r="S10" s="5" t="s">
        <v>17</v>
      </c>
      <c r="T10" s="5">
        <v>1</v>
      </c>
      <c r="U10" s="5">
        <v>40</v>
      </c>
      <c r="V10" s="7">
        <v>60</v>
      </c>
      <c r="W10" s="8">
        <f t="shared" si="2"/>
        <v>1.7781512503836436</v>
      </c>
    </row>
    <row r="11" spans="1:23" x14ac:dyDescent="0.2">
      <c r="A11" s="6" t="s">
        <v>24</v>
      </c>
      <c r="B11" s="5" t="s">
        <v>16</v>
      </c>
      <c r="C11" s="5" t="s">
        <v>17</v>
      </c>
      <c r="D11" s="5">
        <v>1</v>
      </c>
      <c r="E11" s="5">
        <v>40</v>
      </c>
      <c r="F11" s="7">
        <v>2110920</v>
      </c>
      <c r="G11" s="8">
        <f t="shared" si="0"/>
        <v>6.3244717746544579</v>
      </c>
      <c r="H11" s="6"/>
      <c r="I11" s="6" t="s">
        <v>24</v>
      </c>
      <c r="J11" s="5" t="s">
        <v>16</v>
      </c>
      <c r="K11" s="5" t="s">
        <v>17</v>
      </c>
      <c r="L11" s="5">
        <v>1</v>
      </c>
      <c r="M11" s="5">
        <v>40</v>
      </c>
      <c r="N11" s="7">
        <v>60</v>
      </c>
      <c r="O11" s="8">
        <f t="shared" si="3"/>
        <v>1.7781512503836436</v>
      </c>
      <c r="P11" s="6"/>
      <c r="Q11" s="6" t="s">
        <v>24</v>
      </c>
      <c r="R11" s="5" t="s">
        <v>16</v>
      </c>
      <c r="S11" s="5" t="s">
        <v>17</v>
      </c>
      <c r="T11" s="5">
        <v>1</v>
      </c>
      <c r="U11" s="5">
        <v>40</v>
      </c>
      <c r="V11" s="7">
        <v>59640</v>
      </c>
      <c r="W11" s="8">
        <f t="shared" si="2"/>
        <v>4.7755376347809566</v>
      </c>
    </row>
    <row r="12" spans="1:23" x14ac:dyDescent="0.2">
      <c r="A12" s="6" t="s">
        <v>25</v>
      </c>
      <c r="B12" s="5" t="s">
        <v>16</v>
      </c>
      <c r="C12" s="5" t="s">
        <v>17</v>
      </c>
      <c r="D12" s="5">
        <v>1</v>
      </c>
      <c r="E12" s="5">
        <v>40</v>
      </c>
      <c r="F12" s="7">
        <v>4560660</v>
      </c>
      <c r="G12" s="8">
        <f t="shared" si="0"/>
        <v>6.6590276965277644</v>
      </c>
      <c r="H12" s="6"/>
      <c r="I12" s="6" t="s">
        <v>25</v>
      </c>
      <c r="J12" s="5" t="s">
        <v>16</v>
      </c>
      <c r="K12" s="5" t="s">
        <v>17</v>
      </c>
      <c r="L12" s="5">
        <v>1</v>
      </c>
      <c r="M12" s="5">
        <v>40</v>
      </c>
      <c r="N12" s="7">
        <v>210540</v>
      </c>
      <c r="O12" s="8">
        <f t="shared" si="3"/>
        <v>5.3233346185990502</v>
      </c>
      <c r="P12" s="6"/>
      <c r="Q12" s="6" t="s">
        <v>25</v>
      </c>
      <c r="R12" s="5" t="s">
        <v>16</v>
      </c>
      <c r="S12" s="5" t="s">
        <v>17</v>
      </c>
      <c r="T12" s="5">
        <v>1</v>
      </c>
      <c r="U12" s="5">
        <v>40</v>
      </c>
      <c r="V12" s="7">
        <v>1470480</v>
      </c>
      <c r="W12" s="8">
        <f t="shared" si="2"/>
        <v>6.1674591220435602</v>
      </c>
    </row>
    <row r="13" spans="1:23" x14ac:dyDescent="0.2">
      <c r="A13" s="6" t="s">
        <v>26</v>
      </c>
      <c r="B13" s="5" t="s">
        <v>16</v>
      </c>
      <c r="C13" s="5" t="s">
        <v>17</v>
      </c>
      <c r="D13" s="5">
        <v>1</v>
      </c>
      <c r="E13" s="5">
        <v>40</v>
      </c>
      <c r="F13" s="7">
        <v>40440</v>
      </c>
      <c r="G13" s="8">
        <f t="shared" si="0"/>
        <v>4.6068111469189637</v>
      </c>
      <c r="H13" s="6"/>
      <c r="I13" s="6" t="s">
        <v>26</v>
      </c>
      <c r="J13" s="5" t="s">
        <v>16</v>
      </c>
      <c r="K13" s="5" t="s">
        <v>17</v>
      </c>
      <c r="L13" s="5">
        <v>1</v>
      </c>
      <c r="M13" s="5">
        <v>40</v>
      </c>
      <c r="N13" s="7">
        <v>420</v>
      </c>
      <c r="O13" s="8">
        <f t="shared" si="3"/>
        <v>2.6232492903979003</v>
      </c>
      <c r="P13" s="6"/>
      <c r="Q13" s="6" t="s">
        <v>26</v>
      </c>
      <c r="R13" s="5" t="s">
        <v>16</v>
      </c>
      <c r="S13" s="5" t="s">
        <v>17</v>
      </c>
      <c r="T13" s="5">
        <v>1</v>
      </c>
      <c r="U13" s="5">
        <v>40</v>
      </c>
      <c r="V13" s="7">
        <v>60</v>
      </c>
      <c r="W13" s="8">
        <f t="shared" si="2"/>
        <v>1.7781512503836436</v>
      </c>
    </row>
    <row r="14" spans="1:23" x14ac:dyDescent="0.2">
      <c r="A14" s="6" t="s">
        <v>27</v>
      </c>
      <c r="B14" s="5" t="s">
        <v>16</v>
      </c>
      <c r="C14" s="5" t="s">
        <v>17</v>
      </c>
      <c r="D14" s="5">
        <v>1</v>
      </c>
      <c r="E14" s="5">
        <v>40</v>
      </c>
      <c r="F14" s="7">
        <v>54060</v>
      </c>
      <c r="G14" s="8">
        <f t="shared" si="0"/>
        <v>4.7328760413627062</v>
      </c>
      <c r="H14" s="6"/>
      <c r="I14" s="6" t="s">
        <v>27</v>
      </c>
      <c r="J14" s="5" t="s">
        <v>16</v>
      </c>
      <c r="K14" s="5" t="s">
        <v>17</v>
      </c>
      <c r="L14" s="5">
        <v>1</v>
      </c>
      <c r="M14" s="5">
        <v>40</v>
      </c>
      <c r="N14" s="7">
        <v>420</v>
      </c>
      <c r="O14" s="8">
        <f t="shared" si="3"/>
        <v>2.6232492903979003</v>
      </c>
      <c r="P14" s="6"/>
      <c r="Q14" s="6" t="s">
        <v>27</v>
      </c>
      <c r="R14" s="5" t="s">
        <v>16</v>
      </c>
      <c r="S14" s="5" t="s">
        <v>17</v>
      </c>
      <c r="T14" s="5">
        <v>1</v>
      </c>
      <c r="U14" s="5">
        <v>40</v>
      </c>
      <c r="V14" s="7">
        <v>2160</v>
      </c>
      <c r="W14" s="8">
        <f t="shared" si="2"/>
        <v>3.3344537511509307</v>
      </c>
    </row>
    <row r="15" spans="1:23" x14ac:dyDescent="0.2">
      <c r="A15" s="6" t="s">
        <v>28</v>
      </c>
      <c r="B15" s="5" t="s">
        <v>16</v>
      </c>
      <c r="C15" s="5" t="s">
        <v>17</v>
      </c>
      <c r="D15" s="5">
        <v>1</v>
      </c>
      <c r="E15" s="5">
        <v>40</v>
      </c>
      <c r="F15" s="7">
        <v>1973400</v>
      </c>
      <c r="G15" s="8">
        <f t="shared" si="0"/>
        <v>6.2952151238662983</v>
      </c>
      <c r="H15" s="6"/>
      <c r="I15" s="6" t="s">
        <v>28</v>
      </c>
      <c r="J15" s="5" t="s">
        <v>16</v>
      </c>
      <c r="K15" s="5" t="s">
        <v>17</v>
      </c>
      <c r="L15" s="5">
        <v>1</v>
      </c>
      <c r="M15" s="5">
        <v>40</v>
      </c>
      <c r="N15" s="7">
        <v>7020</v>
      </c>
      <c r="O15" s="8">
        <f t="shared" si="3"/>
        <v>3.8463371121298051</v>
      </c>
      <c r="P15" s="6"/>
      <c r="Q15" s="6" t="s">
        <v>28</v>
      </c>
      <c r="R15" s="5" t="s">
        <v>16</v>
      </c>
      <c r="S15" s="5" t="s">
        <v>17</v>
      </c>
      <c r="T15" s="5">
        <v>1</v>
      </c>
      <c r="U15" s="5">
        <v>40</v>
      </c>
      <c r="V15" s="7">
        <v>5160</v>
      </c>
      <c r="W15" s="8">
        <f t="shared" si="2"/>
        <v>3.7126497016272113</v>
      </c>
    </row>
    <row r="17" spans="1:23" x14ac:dyDescent="0.2">
      <c r="A17" s="16" t="s">
        <v>32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spans="1:23" x14ac:dyDescent="0.2">
      <c r="A18" s="17" t="s">
        <v>29</v>
      </c>
      <c r="B18" s="17"/>
      <c r="C18" s="17"/>
      <c r="D18" s="17"/>
      <c r="E18" s="17"/>
      <c r="F18" s="17"/>
      <c r="G18" s="17"/>
      <c r="H18" s="5"/>
      <c r="I18" s="17" t="s">
        <v>30</v>
      </c>
      <c r="J18" s="17"/>
      <c r="K18" s="17"/>
      <c r="L18" s="17"/>
      <c r="M18" s="17"/>
      <c r="N18" s="17"/>
      <c r="O18" s="17"/>
      <c r="P18" s="5"/>
      <c r="Q18" s="17" t="s">
        <v>4</v>
      </c>
      <c r="R18" s="17"/>
      <c r="S18" s="17"/>
      <c r="T18" s="17"/>
      <c r="U18" s="17"/>
      <c r="V18" s="17"/>
      <c r="W18" s="17"/>
    </row>
    <row r="19" spans="1:23" ht="17.25" x14ac:dyDescent="0.3">
      <c r="A19" s="5" t="s">
        <v>7</v>
      </c>
      <c r="B19" s="5" t="s">
        <v>8</v>
      </c>
      <c r="C19" s="5" t="s">
        <v>9</v>
      </c>
      <c r="D19" s="5" t="s">
        <v>33</v>
      </c>
      <c r="E19" s="5" t="s">
        <v>34</v>
      </c>
      <c r="F19" s="5" t="s">
        <v>35</v>
      </c>
      <c r="G19" s="5" t="s">
        <v>36</v>
      </c>
      <c r="H19" s="9"/>
      <c r="I19" s="5" t="s">
        <v>7</v>
      </c>
      <c r="J19" s="5" t="s">
        <v>8</v>
      </c>
      <c r="K19" s="5" t="s">
        <v>9</v>
      </c>
      <c r="L19" s="5" t="s">
        <v>33</v>
      </c>
      <c r="M19" s="5" t="s">
        <v>34</v>
      </c>
      <c r="N19" s="5" t="s">
        <v>35</v>
      </c>
      <c r="O19" s="5" t="s">
        <v>36</v>
      </c>
      <c r="Q19" s="5" t="s">
        <v>7</v>
      </c>
      <c r="R19" s="5" t="s">
        <v>8</v>
      </c>
      <c r="S19" s="5" t="s">
        <v>9</v>
      </c>
      <c r="T19" s="5" t="s">
        <v>33</v>
      </c>
      <c r="U19" s="5" t="s">
        <v>34</v>
      </c>
      <c r="V19" s="5" t="s">
        <v>35</v>
      </c>
      <c r="W19" s="5" t="s">
        <v>36</v>
      </c>
    </row>
    <row r="20" spans="1:23" x14ac:dyDescent="0.2">
      <c r="A20" s="6" t="s">
        <v>37</v>
      </c>
      <c r="B20" s="5" t="s">
        <v>16</v>
      </c>
      <c r="C20" s="5" t="s">
        <v>17</v>
      </c>
      <c r="D20" s="5">
        <v>1</v>
      </c>
      <c r="E20" s="5">
        <v>40</v>
      </c>
      <c r="F20" s="6">
        <v>465957900</v>
      </c>
      <c r="G20" s="8">
        <f>LOG10(F20)</f>
        <v>8.668346679300198</v>
      </c>
      <c r="H20" s="9"/>
      <c r="I20" s="6" t="s">
        <v>61</v>
      </c>
      <c r="J20" s="5" t="s">
        <v>16</v>
      </c>
      <c r="K20" s="5" t="s">
        <v>17</v>
      </c>
      <c r="L20" s="5">
        <v>1</v>
      </c>
      <c r="M20" s="5">
        <v>40</v>
      </c>
      <c r="N20" s="6">
        <v>3600</v>
      </c>
      <c r="O20" s="8">
        <f>LOG10(N20)</f>
        <v>3.5563025007672873</v>
      </c>
      <c r="Q20" s="6" t="s">
        <v>61</v>
      </c>
      <c r="R20" s="5" t="s">
        <v>16</v>
      </c>
      <c r="S20" s="5" t="s">
        <v>17</v>
      </c>
      <c r="T20" s="5">
        <v>1</v>
      </c>
      <c r="U20" s="5">
        <v>40</v>
      </c>
      <c r="V20" s="6">
        <v>803131500</v>
      </c>
      <c r="W20" s="8">
        <f>LOG10(V20)</f>
        <v>8.9047866599097034</v>
      </c>
    </row>
    <row r="21" spans="1:23" x14ac:dyDescent="0.2">
      <c r="A21" s="6" t="s">
        <v>39</v>
      </c>
      <c r="B21" s="5" t="s">
        <v>16</v>
      </c>
      <c r="C21" s="5" t="s">
        <v>17</v>
      </c>
      <c r="D21" s="5">
        <v>1</v>
      </c>
      <c r="E21" s="5">
        <v>40</v>
      </c>
      <c r="F21" s="6">
        <v>96000</v>
      </c>
      <c r="G21" s="8">
        <f t="shared" ref="G21:G28" si="4">LOG10(F21)</f>
        <v>4.982271233039568</v>
      </c>
      <c r="H21" s="9"/>
      <c r="I21" s="6" t="s">
        <v>39</v>
      </c>
      <c r="J21" s="5" t="s">
        <v>16</v>
      </c>
      <c r="K21" s="5" t="s">
        <v>17</v>
      </c>
      <c r="L21" s="5">
        <v>1</v>
      </c>
      <c r="M21" s="5">
        <v>40</v>
      </c>
      <c r="N21" s="6">
        <v>1267500</v>
      </c>
      <c r="O21" s="8">
        <f t="shared" ref="O21:O28" si="5">LOG10(N21)</f>
        <v>6.102947968005374</v>
      </c>
      <c r="Q21" s="6" t="s">
        <v>39</v>
      </c>
      <c r="R21" s="5" t="s">
        <v>16</v>
      </c>
      <c r="S21" s="5" t="s">
        <v>17</v>
      </c>
      <c r="T21" s="5">
        <v>1</v>
      </c>
      <c r="U21" s="5">
        <v>40</v>
      </c>
      <c r="V21" s="6">
        <v>53400</v>
      </c>
      <c r="W21" s="8">
        <f t="shared" ref="W21:W28" si="6">LOG10(V21)</f>
        <v>4.7275412570285562</v>
      </c>
    </row>
    <row r="22" spans="1:23" x14ac:dyDescent="0.2">
      <c r="A22" s="6" t="s">
        <v>41</v>
      </c>
      <c r="B22" s="5" t="s">
        <v>16</v>
      </c>
      <c r="C22" s="5" t="s">
        <v>17</v>
      </c>
      <c r="D22" s="5">
        <v>1</v>
      </c>
      <c r="E22" s="5">
        <v>40</v>
      </c>
      <c r="F22" s="6">
        <v>2559046500</v>
      </c>
      <c r="G22" s="8">
        <f t="shared" si="4"/>
        <v>9.4080781774502693</v>
      </c>
      <c r="H22" s="9"/>
      <c r="I22" s="6" t="s">
        <v>41</v>
      </c>
      <c r="J22" s="5" t="s">
        <v>16</v>
      </c>
      <c r="K22" s="5" t="s">
        <v>17</v>
      </c>
      <c r="L22" s="5">
        <v>1</v>
      </c>
      <c r="M22" s="5">
        <v>40</v>
      </c>
      <c r="N22" s="6">
        <v>109994700</v>
      </c>
      <c r="O22" s="8">
        <f t="shared" si="5"/>
        <v>8.0413717595563394</v>
      </c>
      <c r="Q22" s="6" t="s">
        <v>41</v>
      </c>
      <c r="R22" s="5" t="s">
        <v>16</v>
      </c>
      <c r="S22" s="5" t="s">
        <v>17</v>
      </c>
      <c r="T22" s="5">
        <v>1</v>
      </c>
      <c r="U22" s="5">
        <v>40</v>
      </c>
      <c r="V22" s="6">
        <v>10802400</v>
      </c>
      <c r="W22" s="8">
        <f t="shared" si="6"/>
        <v>7.0335202546500852</v>
      </c>
    </row>
    <row r="23" spans="1:23" x14ac:dyDescent="0.2">
      <c r="A23" s="6" t="s">
        <v>43</v>
      </c>
      <c r="B23" s="5" t="s">
        <v>16</v>
      </c>
      <c r="C23" s="5" t="s">
        <v>17</v>
      </c>
      <c r="D23" s="5">
        <v>1</v>
      </c>
      <c r="E23" s="5">
        <v>40</v>
      </c>
      <c r="F23" s="6">
        <v>84122284800</v>
      </c>
      <c r="G23" s="8">
        <f t="shared" si="4"/>
        <v>10.924911059812629</v>
      </c>
      <c r="H23" s="9"/>
      <c r="I23" s="6" t="s">
        <v>43</v>
      </c>
      <c r="J23" s="5" t="s">
        <v>16</v>
      </c>
      <c r="K23" s="5" t="s">
        <v>17</v>
      </c>
      <c r="L23" s="5">
        <v>1</v>
      </c>
      <c r="M23" s="5">
        <v>40</v>
      </c>
      <c r="N23" s="6">
        <v>384032400</v>
      </c>
      <c r="O23" s="8">
        <f t="shared" si="5"/>
        <v>8.584367866418626</v>
      </c>
      <c r="Q23" s="6" t="s">
        <v>43</v>
      </c>
      <c r="R23" s="5" t="s">
        <v>16</v>
      </c>
      <c r="S23" s="5" t="s">
        <v>17</v>
      </c>
      <c r="T23" s="5">
        <v>1</v>
      </c>
      <c r="U23" s="5">
        <v>40</v>
      </c>
      <c r="V23" s="6">
        <v>26480927.400000002</v>
      </c>
      <c r="W23" s="8">
        <f t="shared" si="6"/>
        <v>7.4229331906486946</v>
      </c>
    </row>
    <row r="24" spans="1:23" x14ac:dyDescent="0.2">
      <c r="A24" s="6" t="s">
        <v>45</v>
      </c>
      <c r="B24" s="5" t="s">
        <v>16</v>
      </c>
      <c r="C24" s="5" t="s">
        <v>17</v>
      </c>
      <c r="D24" s="5">
        <v>1</v>
      </c>
      <c r="E24" s="5">
        <v>40</v>
      </c>
      <c r="F24" s="6">
        <v>2604276600</v>
      </c>
      <c r="G24" s="8">
        <f t="shared" si="4"/>
        <v>9.4156871087264893</v>
      </c>
      <c r="H24" s="9"/>
      <c r="I24" s="6" t="s">
        <v>45</v>
      </c>
      <c r="J24" s="5" t="s">
        <v>16</v>
      </c>
      <c r="K24" s="5" t="s">
        <v>17</v>
      </c>
      <c r="L24" s="5">
        <v>1</v>
      </c>
      <c r="M24" s="5">
        <v>40</v>
      </c>
      <c r="N24" s="6">
        <v>1799704500</v>
      </c>
      <c r="O24" s="8">
        <f t="shared" si="5"/>
        <v>9.25520120257295</v>
      </c>
      <c r="Q24" s="6" t="s">
        <v>45</v>
      </c>
      <c r="R24" s="5" t="s">
        <v>16</v>
      </c>
      <c r="S24" s="5" t="s">
        <v>17</v>
      </c>
      <c r="T24" s="5">
        <v>1</v>
      </c>
      <c r="U24" s="5">
        <v>40</v>
      </c>
      <c r="V24" s="6">
        <v>1245031.7999999998</v>
      </c>
      <c r="W24" s="8">
        <f t="shared" si="6"/>
        <v>6.0951804441130015</v>
      </c>
    </row>
    <row r="25" spans="1:23" x14ac:dyDescent="0.2">
      <c r="A25" s="6" t="s">
        <v>47</v>
      </c>
      <c r="B25" s="5" t="s">
        <v>16</v>
      </c>
      <c r="C25" s="5" t="s">
        <v>17</v>
      </c>
      <c r="D25" s="5">
        <v>1</v>
      </c>
      <c r="E25" s="5">
        <v>40</v>
      </c>
      <c r="F25" s="6">
        <v>162554568000</v>
      </c>
      <c r="G25" s="8">
        <f t="shared" si="4"/>
        <v>11.21099917825736</v>
      </c>
      <c r="H25" s="9"/>
      <c r="I25" s="6" t="s">
        <v>47</v>
      </c>
      <c r="J25" s="5" t="s">
        <v>16</v>
      </c>
      <c r="K25" s="5" t="s">
        <v>17</v>
      </c>
      <c r="L25" s="5">
        <v>1</v>
      </c>
      <c r="M25" s="5">
        <v>40</v>
      </c>
      <c r="N25" s="6">
        <v>254161800</v>
      </c>
      <c r="O25" s="8">
        <f t="shared" si="5"/>
        <v>8.4051102775481557</v>
      </c>
      <c r="Q25" s="6" t="s">
        <v>47</v>
      </c>
      <c r="R25" s="5" t="s">
        <v>16</v>
      </c>
      <c r="S25" s="5" t="s">
        <v>17</v>
      </c>
      <c r="T25" s="5">
        <v>1</v>
      </c>
      <c r="U25" s="5">
        <v>40</v>
      </c>
      <c r="V25" s="6">
        <v>49945182</v>
      </c>
      <c r="W25" s="8">
        <f t="shared" si="6"/>
        <v>7.6984936000347837</v>
      </c>
    </row>
    <row r="26" spans="1:23" x14ac:dyDescent="0.2">
      <c r="A26" s="6" t="s">
        <v>49</v>
      </c>
      <c r="B26" s="5" t="s">
        <v>16</v>
      </c>
      <c r="C26" s="5" t="s">
        <v>17</v>
      </c>
      <c r="D26" s="5">
        <v>1</v>
      </c>
      <c r="E26" s="5">
        <v>40</v>
      </c>
      <c r="F26" s="6">
        <v>1424498100</v>
      </c>
      <c r="G26" s="8">
        <f t="shared" si="4"/>
        <v>9.1536618743125509</v>
      </c>
      <c r="H26" s="9"/>
      <c r="I26" s="6" t="s">
        <v>49</v>
      </c>
      <c r="J26" s="5" t="s">
        <v>16</v>
      </c>
      <c r="K26" s="5" t="s">
        <v>17</v>
      </c>
      <c r="L26" s="5">
        <v>1</v>
      </c>
      <c r="M26" s="5">
        <v>40</v>
      </c>
      <c r="N26" s="6">
        <v>10563000</v>
      </c>
      <c r="O26" s="8">
        <f t="shared" si="5"/>
        <v>7.0237872797898468</v>
      </c>
      <c r="Q26" s="6" t="s">
        <v>49</v>
      </c>
      <c r="R26" s="5" t="s">
        <v>16</v>
      </c>
      <c r="S26" s="5" t="s">
        <v>17</v>
      </c>
      <c r="T26" s="5">
        <v>1</v>
      </c>
      <c r="U26" s="5">
        <v>40</v>
      </c>
      <c r="V26" s="6">
        <v>105455276.69999999</v>
      </c>
      <c r="W26" s="8">
        <f t="shared" si="6"/>
        <v>8.0230683155535321</v>
      </c>
    </row>
    <row r="27" spans="1:23" x14ac:dyDescent="0.2">
      <c r="A27" s="6" t="s">
        <v>51</v>
      </c>
      <c r="B27" s="5" t="s">
        <v>16</v>
      </c>
      <c r="C27" s="5" t="s">
        <v>17</v>
      </c>
      <c r="D27" s="5">
        <v>1</v>
      </c>
      <c r="E27" s="5">
        <v>40</v>
      </c>
      <c r="F27" s="6">
        <v>39262046700</v>
      </c>
      <c r="G27" s="8">
        <f t="shared" si="4"/>
        <v>10.593972935288125</v>
      </c>
      <c r="H27" s="9"/>
      <c r="I27" s="6" t="s">
        <v>51</v>
      </c>
      <c r="J27" s="5" t="s">
        <v>16</v>
      </c>
      <c r="K27" s="5" t="s">
        <v>17</v>
      </c>
      <c r="L27" s="5">
        <v>1</v>
      </c>
      <c r="M27" s="5">
        <v>40</v>
      </c>
      <c r="N27" s="6">
        <v>4088400</v>
      </c>
      <c r="O27" s="8">
        <f t="shared" si="5"/>
        <v>6.6115533796155024</v>
      </c>
      <c r="Q27" s="6" t="s">
        <v>51</v>
      </c>
      <c r="R27" s="5" t="s">
        <v>16</v>
      </c>
      <c r="S27" s="5" t="s">
        <v>17</v>
      </c>
      <c r="T27" s="5">
        <v>1</v>
      </c>
      <c r="U27" s="5">
        <v>40</v>
      </c>
      <c r="V27" s="6">
        <v>51134.377200000003</v>
      </c>
      <c r="W27" s="8">
        <f t="shared" si="6"/>
        <v>4.7087129707519528</v>
      </c>
    </row>
    <row r="28" spans="1:23" x14ac:dyDescent="0.2">
      <c r="A28" s="6" t="s">
        <v>53</v>
      </c>
      <c r="B28" s="5" t="s">
        <v>16</v>
      </c>
      <c r="C28" s="5" t="s">
        <v>17</v>
      </c>
      <c r="D28" s="5">
        <v>1</v>
      </c>
      <c r="E28" s="5">
        <v>40</v>
      </c>
      <c r="F28" s="6">
        <v>9274528200</v>
      </c>
      <c r="G28" s="8">
        <f t="shared" si="4"/>
        <v>9.9672918260662566</v>
      </c>
      <c r="H28" s="9"/>
      <c r="I28" s="6" t="s">
        <v>53</v>
      </c>
      <c r="J28" s="5" t="s">
        <v>16</v>
      </c>
      <c r="K28" s="5" t="s">
        <v>17</v>
      </c>
      <c r="L28" s="5">
        <v>1</v>
      </c>
      <c r="M28" s="5">
        <v>40</v>
      </c>
      <c r="N28" s="6">
        <v>22455600</v>
      </c>
      <c r="O28" s="8">
        <f t="shared" si="5"/>
        <v>7.3513246636386747</v>
      </c>
      <c r="Q28" s="6" t="s">
        <v>53</v>
      </c>
      <c r="R28" s="5" t="s">
        <v>16</v>
      </c>
      <c r="S28" s="5" t="s">
        <v>17</v>
      </c>
      <c r="T28" s="5">
        <v>1</v>
      </c>
      <c r="U28" s="5">
        <v>40</v>
      </c>
      <c r="V28" s="6">
        <v>47442.416400000002</v>
      </c>
      <c r="W28" s="8">
        <f t="shared" si="6"/>
        <v>4.6761668009814201</v>
      </c>
    </row>
    <row r="29" spans="1:23" x14ac:dyDescent="0.2">
      <c r="A29" s="6" t="s">
        <v>55</v>
      </c>
      <c r="B29" s="5" t="s">
        <v>16</v>
      </c>
      <c r="C29" s="5" t="s">
        <v>17</v>
      </c>
      <c r="D29" s="5">
        <v>1</v>
      </c>
      <c r="E29" s="5">
        <v>40</v>
      </c>
      <c r="F29" s="6">
        <v>158794200</v>
      </c>
      <c r="G29" s="8">
        <f>LOG10(F29)</f>
        <v>8.2008346356603692</v>
      </c>
      <c r="H29" s="9"/>
      <c r="I29" s="6" t="s">
        <v>55</v>
      </c>
      <c r="J29" s="5" t="s">
        <v>16</v>
      </c>
      <c r="K29" s="5" t="s">
        <v>17</v>
      </c>
      <c r="L29" s="5">
        <v>1</v>
      </c>
      <c r="M29" s="5">
        <v>40</v>
      </c>
      <c r="N29" s="6">
        <v>2700</v>
      </c>
      <c r="O29" s="8">
        <f>LOG10(N29)</f>
        <v>3.4313637641589874</v>
      </c>
      <c r="Q29" s="6" t="s">
        <v>55</v>
      </c>
      <c r="R29" s="5" t="s">
        <v>16</v>
      </c>
      <c r="S29" s="5" t="s">
        <v>17</v>
      </c>
      <c r="T29" s="5">
        <v>1</v>
      </c>
      <c r="U29" s="5">
        <v>40</v>
      </c>
      <c r="V29" s="6">
        <v>8700</v>
      </c>
      <c r="W29" s="8">
        <f>LOG10(V29)</f>
        <v>3.9395192526186187</v>
      </c>
    </row>
    <row r="30" spans="1:23" x14ac:dyDescent="0.2">
      <c r="A30" s="6" t="s">
        <v>57</v>
      </c>
      <c r="B30" s="5" t="s">
        <v>16</v>
      </c>
      <c r="C30" s="5" t="s">
        <v>17</v>
      </c>
      <c r="D30" s="5">
        <v>1</v>
      </c>
      <c r="E30" s="5">
        <v>40</v>
      </c>
      <c r="F30" s="6">
        <v>42085800</v>
      </c>
      <c r="G30" s="8">
        <f t="shared" ref="G30:G31" si="7">LOG10(F30)</f>
        <v>7.624135587001601</v>
      </c>
      <c r="H30" s="9"/>
      <c r="I30" s="6" t="s">
        <v>57</v>
      </c>
      <c r="J30" s="5" t="s">
        <v>16</v>
      </c>
      <c r="K30" s="5" t="s">
        <v>17</v>
      </c>
      <c r="L30" s="5">
        <v>1</v>
      </c>
      <c r="M30" s="5">
        <v>40</v>
      </c>
      <c r="N30" s="6">
        <v>300</v>
      </c>
      <c r="O30" s="8">
        <f t="shared" ref="O30:O31" si="8">LOG10(N30)</f>
        <v>2.4771212547196626</v>
      </c>
      <c r="Q30" s="6" t="s">
        <v>57</v>
      </c>
      <c r="R30" s="5" t="s">
        <v>16</v>
      </c>
      <c r="S30" s="5" t="s">
        <v>17</v>
      </c>
      <c r="T30" s="5">
        <v>1</v>
      </c>
      <c r="U30" s="5">
        <v>40</v>
      </c>
      <c r="V30" s="6">
        <v>84000</v>
      </c>
      <c r="W30" s="8">
        <f t="shared" ref="W30:W31" si="9">LOG10(V30)</f>
        <v>4.924279286061882</v>
      </c>
    </row>
    <row r="31" spans="1:23" x14ac:dyDescent="0.2">
      <c r="A31" s="6" t="s">
        <v>59</v>
      </c>
      <c r="B31" s="5" t="s">
        <v>16</v>
      </c>
      <c r="C31" s="5" t="s">
        <v>17</v>
      </c>
      <c r="D31" s="5">
        <v>1</v>
      </c>
      <c r="E31" s="5">
        <v>40</v>
      </c>
      <c r="F31" s="6">
        <v>754200000</v>
      </c>
      <c r="G31" s="8">
        <f t="shared" si="7"/>
        <v>8.8774865280696016</v>
      </c>
      <c r="H31" s="9"/>
      <c r="I31" s="6" t="s">
        <v>59</v>
      </c>
      <c r="J31" s="5" t="s">
        <v>16</v>
      </c>
      <c r="K31" s="5" t="s">
        <v>17</v>
      </c>
      <c r="L31" s="5">
        <v>1</v>
      </c>
      <c r="M31" s="5">
        <v>40</v>
      </c>
      <c r="N31" s="6">
        <v>4987200</v>
      </c>
      <c r="O31" s="8">
        <f t="shared" si="8"/>
        <v>6.6978567849327648</v>
      </c>
      <c r="Q31" s="6" t="s">
        <v>59</v>
      </c>
      <c r="R31" s="5" t="s">
        <v>16</v>
      </c>
      <c r="S31" s="5" t="s">
        <v>17</v>
      </c>
      <c r="T31" s="5">
        <v>1</v>
      </c>
      <c r="U31" s="5">
        <v>40</v>
      </c>
      <c r="V31" s="6">
        <v>1500</v>
      </c>
      <c r="W31" s="8">
        <f t="shared" si="9"/>
        <v>3.1760912590556813</v>
      </c>
    </row>
    <row r="32" spans="1:23" x14ac:dyDescent="0.2">
      <c r="A32" s="9"/>
      <c r="B32" s="9"/>
      <c r="C32" s="9"/>
      <c r="D32" s="9"/>
      <c r="E32" s="9"/>
      <c r="F32" s="9"/>
      <c r="G32" s="9"/>
      <c r="H32" s="9"/>
    </row>
    <row r="33" spans="1:23" x14ac:dyDescent="0.2">
      <c r="A33" s="16" t="s">
        <v>62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spans="1:23" x14ac:dyDescent="0.2">
      <c r="A34" s="17" t="s">
        <v>29</v>
      </c>
      <c r="B34" s="17"/>
      <c r="C34" s="17"/>
      <c r="D34" s="17"/>
      <c r="E34" s="17"/>
      <c r="F34" s="17"/>
      <c r="G34" s="17"/>
      <c r="H34" s="5"/>
      <c r="I34" s="17" t="s">
        <v>30</v>
      </c>
      <c r="J34" s="17"/>
      <c r="K34" s="17"/>
      <c r="L34" s="17"/>
      <c r="M34" s="17"/>
      <c r="N34" s="17"/>
      <c r="O34" s="17"/>
      <c r="P34" s="5"/>
      <c r="Q34" s="17" t="s">
        <v>4</v>
      </c>
      <c r="R34" s="17"/>
      <c r="S34" s="17"/>
      <c r="T34" s="17"/>
      <c r="U34" s="17"/>
      <c r="V34" s="17"/>
      <c r="W34" s="17"/>
    </row>
    <row r="35" spans="1:23" ht="17.25" x14ac:dyDescent="0.3">
      <c r="A35" s="5" t="s">
        <v>7</v>
      </c>
      <c r="B35" s="5" t="s">
        <v>8</v>
      </c>
      <c r="C35" s="5" t="s">
        <v>9</v>
      </c>
      <c r="D35" s="5" t="s">
        <v>33</v>
      </c>
      <c r="E35" s="5" t="s">
        <v>34</v>
      </c>
      <c r="F35" s="5" t="s">
        <v>35</v>
      </c>
      <c r="G35" s="5" t="s">
        <v>36</v>
      </c>
      <c r="H35" s="9"/>
      <c r="I35" s="5" t="s">
        <v>7</v>
      </c>
      <c r="J35" s="5" t="s">
        <v>8</v>
      </c>
      <c r="K35" s="5" t="s">
        <v>9</v>
      </c>
      <c r="L35" s="5" t="s">
        <v>33</v>
      </c>
      <c r="M35" s="5" t="s">
        <v>34</v>
      </c>
      <c r="N35" s="5" t="s">
        <v>35</v>
      </c>
      <c r="O35" s="5" t="s">
        <v>36</v>
      </c>
      <c r="Q35" s="5" t="s">
        <v>7</v>
      </c>
      <c r="R35" s="5" t="s">
        <v>8</v>
      </c>
      <c r="S35" s="5" t="s">
        <v>9</v>
      </c>
      <c r="T35" s="5" t="s">
        <v>33</v>
      </c>
      <c r="U35" s="5" t="s">
        <v>34</v>
      </c>
      <c r="V35" s="5" t="s">
        <v>35</v>
      </c>
      <c r="W35" s="5" t="s">
        <v>36</v>
      </c>
    </row>
    <row r="36" spans="1:23" x14ac:dyDescent="0.2">
      <c r="A36" s="6" t="s">
        <v>38</v>
      </c>
      <c r="B36" s="5" t="s">
        <v>16</v>
      </c>
      <c r="C36" s="5" t="s">
        <v>17</v>
      </c>
      <c r="D36" s="5">
        <v>1</v>
      </c>
      <c r="E36" s="5">
        <v>40</v>
      </c>
      <c r="F36" s="6">
        <v>3300</v>
      </c>
      <c r="G36" s="8">
        <f t="shared" ref="G36:G47" si="10">LOG10(F36)</f>
        <v>3.5185139398778875</v>
      </c>
      <c r="H36" s="9"/>
      <c r="I36" s="6" t="s">
        <v>38</v>
      </c>
      <c r="J36" s="5" t="s">
        <v>16</v>
      </c>
      <c r="K36" s="5" t="s">
        <v>17</v>
      </c>
      <c r="L36" s="5">
        <v>1</v>
      </c>
      <c r="M36" s="5">
        <v>40</v>
      </c>
      <c r="N36" s="6">
        <v>3600</v>
      </c>
      <c r="O36" s="8">
        <f>LOG10(N36)</f>
        <v>3.5563025007672873</v>
      </c>
      <c r="Q36" s="6" t="s">
        <v>38</v>
      </c>
      <c r="R36" s="5" t="s">
        <v>16</v>
      </c>
      <c r="S36" s="5" t="s">
        <v>17</v>
      </c>
      <c r="T36" s="5">
        <v>1</v>
      </c>
      <c r="U36" s="5">
        <v>40</v>
      </c>
      <c r="V36" s="6">
        <v>18300</v>
      </c>
      <c r="W36" s="8">
        <f>LOG10(V36)</f>
        <v>4.2624510897304297</v>
      </c>
    </row>
    <row r="37" spans="1:23" x14ac:dyDescent="0.2">
      <c r="A37" s="6" t="s">
        <v>40</v>
      </c>
      <c r="B37" s="5" t="s">
        <v>16</v>
      </c>
      <c r="C37" s="5" t="s">
        <v>17</v>
      </c>
      <c r="D37" s="5">
        <v>1</v>
      </c>
      <c r="E37" s="5">
        <v>40</v>
      </c>
      <c r="F37" s="6">
        <v>5100</v>
      </c>
      <c r="G37" s="8">
        <f t="shared" si="10"/>
        <v>3.7075701760979363</v>
      </c>
      <c r="H37" s="9"/>
      <c r="I37" s="6" t="s">
        <v>40</v>
      </c>
      <c r="J37" s="5" t="s">
        <v>16</v>
      </c>
      <c r="K37" s="5" t="s">
        <v>17</v>
      </c>
      <c r="L37" s="5">
        <v>1</v>
      </c>
      <c r="M37" s="5">
        <v>40</v>
      </c>
      <c r="N37" s="6">
        <v>1200</v>
      </c>
      <c r="O37" s="8">
        <f t="shared" ref="O37:O44" si="11">LOG10(N37)</f>
        <v>3.0791812460476247</v>
      </c>
      <c r="Q37" s="6" t="s">
        <v>40</v>
      </c>
      <c r="R37" s="5" t="s">
        <v>16</v>
      </c>
      <c r="S37" s="5" t="s">
        <v>17</v>
      </c>
      <c r="T37" s="5">
        <v>1</v>
      </c>
      <c r="U37" s="5">
        <v>40</v>
      </c>
      <c r="V37" s="6">
        <v>7500</v>
      </c>
      <c r="W37" s="8">
        <f t="shared" ref="W37:W44" si="12">LOG10(V37)</f>
        <v>3.8750612633917001</v>
      </c>
    </row>
    <row r="38" spans="1:23" x14ac:dyDescent="0.2">
      <c r="A38" s="6" t="s">
        <v>42</v>
      </c>
      <c r="B38" s="5" t="s">
        <v>16</v>
      </c>
      <c r="C38" s="5" t="s">
        <v>17</v>
      </c>
      <c r="D38" s="5">
        <v>1</v>
      </c>
      <c r="E38" s="5">
        <v>40</v>
      </c>
      <c r="F38" s="6">
        <v>2400</v>
      </c>
      <c r="G38" s="8">
        <f t="shared" si="10"/>
        <v>3.3802112417116059</v>
      </c>
      <c r="H38" s="9"/>
      <c r="I38" s="6" t="s">
        <v>42</v>
      </c>
      <c r="J38" s="5" t="s">
        <v>16</v>
      </c>
      <c r="K38" s="5" t="s">
        <v>17</v>
      </c>
      <c r="L38" s="5">
        <v>1</v>
      </c>
      <c r="M38" s="5">
        <v>40</v>
      </c>
      <c r="N38" s="6">
        <v>1200</v>
      </c>
      <c r="O38" s="8">
        <f t="shared" si="11"/>
        <v>3.0791812460476247</v>
      </c>
      <c r="Q38" s="6" t="s">
        <v>42</v>
      </c>
      <c r="R38" s="5" t="s">
        <v>16</v>
      </c>
      <c r="S38" s="5" t="s">
        <v>17</v>
      </c>
      <c r="T38" s="5">
        <v>1</v>
      </c>
      <c r="U38" s="5">
        <v>40</v>
      </c>
      <c r="V38" s="6">
        <v>2100</v>
      </c>
      <c r="W38" s="8">
        <f t="shared" si="12"/>
        <v>3.3222192947339191</v>
      </c>
    </row>
    <row r="39" spans="1:23" x14ac:dyDescent="0.2">
      <c r="A39" s="6" t="s">
        <v>44</v>
      </c>
      <c r="B39" s="5" t="s">
        <v>16</v>
      </c>
      <c r="C39" s="5" t="s">
        <v>17</v>
      </c>
      <c r="D39" s="5">
        <v>1</v>
      </c>
      <c r="E39" s="5">
        <v>40</v>
      </c>
      <c r="F39" s="6">
        <v>9000</v>
      </c>
      <c r="G39" s="8">
        <f t="shared" si="10"/>
        <v>3.9542425094393248</v>
      </c>
      <c r="H39" s="9"/>
      <c r="I39" s="6" t="s">
        <v>44</v>
      </c>
      <c r="J39" s="5" t="s">
        <v>16</v>
      </c>
      <c r="K39" s="5" t="s">
        <v>17</v>
      </c>
      <c r="L39" s="5">
        <v>1</v>
      </c>
      <c r="M39" s="5">
        <v>40</v>
      </c>
      <c r="N39" s="6">
        <v>18000</v>
      </c>
      <c r="O39" s="8">
        <f t="shared" si="11"/>
        <v>4.2552725051033065</v>
      </c>
      <c r="Q39" s="6" t="s">
        <v>44</v>
      </c>
      <c r="R39" s="5" t="s">
        <v>16</v>
      </c>
      <c r="S39" s="5" t="s">
        <v>17</v>
      </c>
      <c r="T39" s="5">
        <v>1</v>
      </c>
      <c r="U39" s="5">
        <v>40</v>
      </c>
      <c r="V39" s="6">
        <v>4200</v>
      </c>
      <c r="W39" s="8">
        <f t="shared" si="12"/>
        <v>3.6232492903979003</v>
      </c>
    </row>
    <row r="40" spans="1:23" x14ac:dyDescent="0.2">
      <c r="A40" s="6" t="s">
        <v>46</v>
      </c>
      <c r="B40" s="5" t="s">
        <v>16</v>
      </c>
      <c r="C40" s="5" t="s">
        <v>17</v>
      </c>
      <c r="D40" s="5">
        <v>1</v>
      </c>
      <c r="E40" s="5">
        <v>40</v>
      </c>
      <c r="F40" s="6">
        <v>861000</v>
      </c>
      <c r="G40" s="8">
        <f t="shared" si="10"/>
        <v>5.935003151453655</v>
      </c>
      <c r="H40" s="9"/>
      <c r="I40" s="6" t="s">
        <v>46</v>
      </c>
      <c r="J40" s="5" t="s">
        <v>16</v>
      </c>
      <c r="K40" s="5" t="s">
        <v>17</v>
      </c>
      <c r="L40" s="5">
        <v>1</v>
      </c>
      <c r="M40" s="5">
        <v>40</v>
      </c>
      <c r="N40" s="6">
        <v>3300</v>
      </c>
      <c r="O40" s="8">
        <f t="shared" si="11"/>
        <v>3.5185139398778875</v>
      </c>
      <c r="Q40" s="6" t="s">
        <v>46</v>
      </c>
      <c r="R40" s="5" t="s">
        <v>16</v>
      </c>
      <c r="S40" s="5" t="s">
        <v>17</v>
      </c>
      <c r="T40" s="5">
        <v>1</v>
      </c>
      <c r="U40" s="5">
        <v>40</v>
      </c>
      <c r="V40" s="6">
        <v>3300</v>
      </c>
      <c r="W40" s="8">
        <f t="shared" si="12"/>
        <v>3.5185139398778875</v>
      </c>
    </row>
    <row r="41" spans="1:23" x14ac:dyDescent="0.2">
      <c r="A41" s="6" t="s">
        <v>48</v>
      </c>
      <c r="B41" s="5" t="s">
        <v>16</v>
      </c>
      <c r="C41" s="5" t="s">
        <v>17</v>
      </c>
      <c r="D41" s="5">
        <v>1</v>
      </c>
      <c r="E41" s="5">
        <v>40</v>
      </c>
      <c r="F41" s="6">
        <v>231600</v>
      </c>
      <c r="G41" s="8">
        <f t="shared" si="10"/>
        <v>5.364738555055399</v>
      </c>
      <c r="H41" s="9"/>
      <c r="I41" s="6" t="s">
        <v>48</v>
      </c>
      <c r="J41" s="5" t="s">
        <v>16</v>
      </c>
      <c r="K41" s="5" t="s">
        <v>17</v>
      </c>
      <c r="L41" s="5">
        <v>1</v>
      </c>
      <c r="M41" s="5">
        <v>40</v>
      </c>
      <c r="N41" s="6">
        <v>15000</v>
      </c>
      <c r="O41" s="8">
        <f t="shared" si="11"/>
        <v>4.1760912590556813</v>
      </c>
      <c r="Q41" s="6" t="s">
        <v>48</v>
      </c>
      <c r="R41" s="5" t="s">
        <v>16</v>
      </c>
      <c r="S41" s="5" t="s">
        <v>17</v>
      </c>
      <c r="T41" s="5">
        <v>1</v>
      </c>
      <c r="U41" s="5">
        <v>40</v>
      </c>
      <c r="V41" s="6">
        <v>7500</v>
      </c>
      <c r="W41" s="8">
        <f t="shared" si="12"/>
        <v>3.8750612633917001</v>
      </c>
    </row>
    <row r="42" spans="1:23" x14ac:dyDescent="0.2">
      <c r="A42" s="6" t="s">
        <v>50</v>
      </c>
      <c r="B42" s="5" t="s">
        <v>16</v>
      </c>
      <c r="C42" s="5" t="s">
        <v>17</v>
      </c>
      <c r="D42" s="5">
        <v>1</v>
      </c>
      <c r="E42" s="5">
        <v>40</v>
      </c>
      <c r="F42" s="6">
        <v>30900</v>
      </c>
      <c r="G42" s="8">
        <f t="shared" si="10"/>
        <v>4.4899584794248346</v>
      </c>
      <c r="H42" s="9"/>
      <c r="I42" s="6" t="s">
        <v>50</v>
      </c>
      <c r="J42" s="5" t="s">
        <v>16</v>
      </c>
      <c r="K42" s="5" t="s">
        <v>17</v>
      </c>
      <c r="L42" s="5">
        <v>1</v>
      </c>
      <c r="M42" s="5">
        <v>40</v>
      </c>
      <c r="N42" s="6">
        <v>300</v>
      </c>
      <c r="O42" s="8">
        <f t="shared" si="11"/>
        <v>2.4771212547196626</v>
      </c>
      <c r="Q42" s="6" t="s">
        <v>50</v>
      </c>
      <c r="R42" s="5" t="s">
        <v>16</v>
      </c>
      <c r="S42" s="5" t="s">
        <v>17</v>
      </c>
      <c r="T42" s="5">
        <v>1</v>
      </c>
      <c r="U42" s="5">
        <v>40</v>
      </c>
      <c r="V42" s="6">
        <v>3300</v>
      </c>
      <c r="W42" s="8">
        <f t="shared" si="12"/>
        <v>3.5185139398778875</v>
      </c>
    </row>
    <row r="43" spans="1:23" x14ac:dyDescent="0.2">
      <c r="A43" s="6" t="s">
        <v>52</v>
      </c>
      <c r="B43" s="5" t="s">
        <v>16</v>
      </c>
      <c r="C43" s="5" t="s">
        <v>17</v>
      </c>
      <c r="D43" s="5">
        <v>1</v>
      </c>
      <c r="E43" s="5">
        <v>40</v>
      </c>
      <c r="F43" s="6">
        <v>427500</v>
      </c>
      <c r="G43" s="8">
        <f t="shared" si="10"/>
        <v>5.6309361190641916</v>
      </c>
      <c r="H43" s="9"/>
      <c r="I43" s="6" t="s">
        <v>52</v>
      </c>
      <c r="J43" s="5" t="s">
        <v>16</v>
      </c>
      <c r="K43" s="5" t="s">
        <v>17</v>
      </c>
      <c r="L43" s="5">
        <v>1</v>
      </c>
      <c r="M43" s="5">
        <v>40</v>
      </c>
      <c r="N43" s="6">
        <v>20400</v>
      </c>
      <c r="O43" s="8">
        <f t="shared" si="11"/>
        <v>4.3096301674258983</v>
      </c>
      <c r="Q43" s="6" t="s">
        <v>52</v>
      </c>
      <c r="R43" s="5" t="s">
        <v>16</v>
      </c>
      <c r="S43" s="5" t="s">
        <v>17</v>
      </c>
      <c r="T43" s="5">
        <v>1</v>
      </c>
      <c r="U43" s="5">
        <v>40</v>
      </c>
      <c r="V43" s="6">
        <v>2700</v>
      </c>
      <c r="W43" s="8">
        <f t="shared" si="12"/>
        <v>3.4313637641589874</v>
      </c>
    </row>
    <row r="44" spans="1:23" x14ac:dyDescent="0.2">
      <c r="A44" s="6" t="s">
        <v>54</v>
      </c>
      <c r="B44" s="5" t="s">
        <v>16</v>
      </c>
      <c r="C44" s="5" t="s">
        <v>17</v>
      </c>
      <c r="D44" s="5">
        <v>1</v>
      </c>
      <c r="E44" s="5">
        <v>40</v>
      </c>
      <c r="F44" s="6">
        <v>16130700</v>
      </c>
      <c r="G44" s="8">
        <f t="shared" si="10"/>
        <v>7.2076532142296923</v>
      </c>
      <c r="H44" s="9"/>
      <c r="I44" s="6" t="s">
        <v>54</v>
      </c>
      <c r="J44" s="5" t="s">
        <v>16</v>
      </c>
      <c r="K44" s="5" t="s">
        <v>17</v>
      </c>
      <c r="L44" s="5">
        <v>1</v>
      </c>
      <c r="M44" s="5">
        <v>40</v>
      </c>
      <c r="N44" s="6">
        <v>5400</v>
      </c>
      <c r="O44" s="8">
        <f t="shared" si="11"/>
        <v>3.7323937598229686</v>
      </c>
      <c r="Q44" s="6" t="s">
        <v>54</v>
      </c>
      <c r="R44" s="5" t="s">
        <v>16</v>
      </c>
      <c r="S44" s="5" t="s">
        <v>17</v>
      </c>
      <c r="T44" s="5">
        <v>1</v>
      </c>
      <c r="U44" s="5">
        <v>40</v>
      </c>
      <c r="V44" s="6">
        <v>3600</v>
      </c>
      <c r="W44" s="8">
        <f t="shared" si="12"/>
        <v>3.5563025007672873</v>
      </c>
    </row>
    <row r="45" spans="1:23" x14ac:dyDescent="0.2">
      <c r="A45" s="6" t="s">
        <v>56</v>
      </c>
      <c r="B45" s="5" t="s">
        <v>16</v>
      </c>
      <c r="C45" s="5" t="s">
        <v>17</v>
      </c>
      <c r="D45" s="5">
        <v>1</v>
      </c>
      <c r="E45" s="5">
        <v>40</v>
      </c>
      <c r="F45" s="6">
        <v>300</v>
      </c>
      <c r="G45" s="8">
        <f t="shared" si="10"/>
        <v>2.4771212547196626</v>
      </c>
      <c r="H45" s="9"/>
      <c r="I45" s="6" t="s">
        <v>56</v>
      </c>
      <c r="J45" s="5" t="s">
        <v>16</v>
      </c>
      <c r="K45" s="5" t="s">
        <v>17</v>
      </c>
      <c r="L45" s="5">
        <v>1</v>
      </c>
      <c r="M45" s="5">
        <v>40</v>
      </c>
      <c r="N45" s="6">
        <v>2700</v>
      </c>
      <c r="O45" s="8">
        <f>LOG10(N45)</f>
        <v>3.4313637641589874</v>
      </c>
      <c r="Q45" s="6" t="s">
        <v>56</v>
      </c>
      <c r="R45" s="5" t="s">
        <v>16</v>
      </c>
      <c r="S45" s="5" t="s">
        <v>17</v>
      </c>
      <c r="T45" s="5">
        <v>1</v>
      </c>
      <c r="U45" s="5">
        <v>40</v>
      </c>
      <c r="V45" s="6">
        <v>1500</v>
      </c>
      <c r="W45" s="8">
        <f>LOG10(V45)</f>
        <v>3.1760912590556813</v>
      </c>
    </row>
    <row r="46" spans="1:23" x14ac:dyDescent="0.2">
      <c r="A46" s="6" t="s">
        <v>58</v>
      </c>
      <c r="B46" s="5" t="s">
        <v>16</v>
      </c>
      <c r="C46" s="5" t="s">
        <v>17</v>
      </c>
      <c r="D46" s="5">
        <v>1</v>
      </c>
      <c r="E46" s="5">
        <v>40</v>
      </c>
      <c r="F46" s="6">
        <v>300</v>
      </c>
      <c r="G46" s="8">
        <f t="shared" si="10"/>
        <v>2.4771212547196626</v>
      </c>
      <c r="H46" s="9"/>
      <c r="I46" s="6" t="s">
        <v>58</v>
      </c>
      <c r="J46" s="5" t="s">
        <v>16</v>
      </c>
      <c r="K46" s="5" t="s">
        <v>17</v>
      </c>
      <c r="L46" s="5">
        <v>1</v>
      </c>
      <c r="M46" s="5">
        <v>40</v>
      </c>
      <c r="N46" s="6">
        <v>300</v>
      </c>
      <c r="O46" s="8">
        <f t="shared" ref="O46:O47" si="13">LOG10(N46)</f>
        <v>2.4771212547196626</v>
      </c>
      <c r="Q46" s="6" t="s">
        <v>58</v>
      </c>
      <c r="R46" s="5" t="s">
        <v>16</v>
      </c>
      <c r="S46" s="5" t="s">
        <v>17</v>
      </c>
      <c r="T46" s="5">
        <v>1</v>
      </c>
      <c r="U46" s="5">
        <v>40</v>
      </c>
      <c r="V46" s="6">
        <v>4800</v>
      </c>
      <c r="W46" s="8">
        <f t="shared" ref="W46:W47" si="14">LOG10(V46)</f>
        <v>3.6812412373755872</v>
      </c>
    </row>
    <row r="47" spans="1:23" x14ac:dyDescent="0.2">
      <c r="A47" s="6" t="s">
        <v>60</v>
      </c>
      <c r="B47" s="5" t="s">
        <v>16</v>
      </c>
      <c r="C47" s="5" t="s">
        <v>17</v>
      </c>
      <c r="D47" s="5">
        <v>1</v>
      </c>
      <c r="E47" s="5">
        <v>40</v>
      </c>
      <c r="F47" s="6">
        <v>390900</v>
      </c>
      <c r="G47" s="8">
        <f t="shared" si="10"/>
        <v>5.5920656704322473</v>
      </c>
      <c r="H47" s="9"/>
      <c r="I47" s="6" t="s">
        <v>60</v>
      </c>
      <c r="J47" s="5" t="s">
        <v>16</v>
      </c>
      <c r="K47" s="5" t="s">
        <v>17</v>
      </c>
      <c r="L47" s="5">
        <v>1</v>
      </c>
      <c r="M47" s="5">
        <v>40</v>
      </c>
      <c r="N47" s="6">
        <v>2400</v>
      </c>
      <c r="O47" s="8">
        <f t="shared" si="13"/>
        <v>3.3802112417116059</v>
      </c>
      <c r="Q47" s="6" t="s">
        <v>60</v>
      </c>
      <c r="R47" s="5" t="s">
        <v>16</v>
      </c>
      <c r="S47" s="5" t="s">
        <v>17</v>
      </c>
      <c r="T47" s="5">
        <v>1</v>
      </c>
      <c r="U47" s="5">
        <v>40</v>
      </c>
      <c r="V47" s="6">
        <v>8100</v>
      </c>
      <c r="W47" s="8">
        <f t="shared" si="14"/>
        <v>3.90848501887865</v>
      </c>
    </row>
    <row r="48" spans="1:23" x14ac:dyDescent="0.2">
      <c r="H48" s="9"/>
    </row>
    <row r="49" spans="8:8" x14ac:dyDescent="0.2">
      <c r="H49" s="9"/>
    </row>
    <row r="50" spans="8:8" x14ac:dyDescent="0.2">
      <c r="H50" s="9"/>
    </row>
    <row r="51" spans="8:8" x14ac:dyDescent="0.2">
      <c r="H51" s="9"/>
    </row>
    <row r="52" spans="8:8" x14ac:dyDescent="0.2">
      <c r="H52" s="9"/>
    </row>
    <row r="53" spans="8:8" x14ac:dyDescent="0.2">
      <c r="H53" s="9"/>
    </row>
    <row r="54" spans="8:8" x14ac:dyDescent="0.2">
      <c r="H54" s="9"/>
    </row>
    <row r="55" spans="8:8" x14ac:dyDescent="0.2">
      <c r="H55" s="9"/>
    </row>
    <row r="56" spans="8:8" x14ac:dyDescent="0.2">
      <c r="H56" s="9"/>
    </row>
    <row r="57" spans="8:8" x14ac:dyDescent="0.2">
      <c r="H57" s="9"/>
    </row>
    <row r="58" spans="8:8" x14ac:dyDescent="0.2">
      <c r="H58" s="9"/>
    </row>
    <row r="59" spans="8:8" x14ac:dyDescent="0.2">
      <c r="H59" s="9"/>
    </row>
    <row r="60" spans="8:8" x14ac:dyDescent="0.2">
      <c r="H60" s="9"/>
    </row>
    <row r="61" spans="8:8" x14ac:dyDescent="0.2">
      <c r="H61" s="9"/>
    </row>
    <row r="78" spans="1:7" x14ac:dyDescent="0.2">
      <c r="A78" s="9"/>
      <c r="B78" s="9"/>
      <c r="C78" s="9"/>
      <c r="D78" s="9"/>
      <c r="E78" s="9"/>
      <c r="F78" s="9"/>
      <c r="G78" s="9"/>
    </row>
    <row r="93" spans="1:7" x14ac:dyDescent="0.2">
      <c r="A93" s="9"/>
      <c r="B93" s="9"/>
      <c r="C93" s="9"/>
      <c r="D93" s="9"/>
      <c r="E93" s="9"/>
      <c r="F93" s="9"/>
      <c r="G93" s="9"/>
    </row>
  </sheetData>
  <mergeCells count="12">
    <mergeCell ref="A1:W1"/>
    <mergeCell ref="A17:W17"/>
    <mergeCell ref="A33:W33"/>
    <mergeCell ref="I18:O18"/>
    <mergeCell ref="I34:O34"/>
    <mergeCell ref="Q18:W18"/>
    <mergeCell ref="Q34:W34"/>
    <mergeCell ref="A2:G2"/>
    <mergeCell ref="I2:O2"/>
    <mergeCell ref="Q2:W2"/>
    <mergeCell ref="A18:G18"/>
    <mergeCell ref="A34:G3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4"/>
  <sheetViews>
    <sheetView tabSelected="1" zoomScale="70" zoomScaleNormal="70" workbookViewId="0">
      <selection activeCell="G47" sqref="G46:G47"/>
    </sheetView>
  </sheetViews>
  <sheetFormatPr defaultRowHeight="14.25" x14ac:dyDescent="0.2"/>
  <cols>
    <col min="1" max="1" width="16" customWidth="1"/>
    <col min="2" max="2" width="13.25" customWidth="1"/>
    <col min="3" max="3" width="14" customWidth="1"/>
    <col min="5" max="5" width="15.25" customWidth="1"/>
    <col min="6" max="6" width="14" customWidth="1"/>
    <col min="7" max="7" width="14.375" customWidth="1"/>
    <col min="8" max="8" width="12.875" customWidth="1"/>
    <col min="9" max="9" width="12.625" customWidth="1"/>
    <col min="10" max="10" width="12.25" customWidth="1"/>
    <col min="11" max="11" width="12.125" customWidth="1"/>
    <col min="12" max="12" width="12.75" customWidth="1"/>
    <col min="14" max="14" width="17" customWidth="1"/>
    <col min="15" max="15" width="12.75" customWidth="1"/>
    <col min="16" max="16" width="13.25" customWidth="1"/>
    <col min="18" max="18" width="16.625" customWidth="1"/>
    <col min="19" max="19" width="12.5" customWidth="1"/>
    <col min="20" max="20" width="12.875" customWidth="1"/>
    <col min="21" max="21" width="12.375" customWidth="1"/>
    <col min="22" max="22" width="12.75" customWidth="1"/>
    <col min="23" max="23" width="12.375" customWidth="1"/>
    <col min="24" max="24" width="13.125" customWidth="1"/>
    <col min="25" max="25" width="12.75" customWidth="1"/>
  </cols>
  <sheetData>
    <row r="1" spans="1:25" x14ac:dyDescent="0.2">
      <c r="A1" s="18" t="s">
        <v>76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9" t="s">
        <v>77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25" x14ac:dyDescent="0.2">
      <c r="A2" s="13" t="s">
        <v>63</v>
      </c>
      <c r="B2" s="13"/>
      <c r="C2" s="13"/>
      <c r="E2" s="13" t="s">
        <v>63</v>
      </c>
      <c r="F2" s="13"/>
      <c r="G2" s="13"/>
      <c r="H2" s="13"/>
      <c r="I2" s="13"/>
      <c r="J2" s="13"/>
      <c r="K2" s="13"/>
      <c r="L2" s="13"/>
      <c r="N2" s="13" t="s">
        <v>63</v>
      </c>
      <c r="O2" s="13"/>
      <c r="P2" s="13"/>
      <c r="R2" s="13" t="s">
        <v>63</v>
      </c>
      <c r="S2" s="13"/>
      <c r="T2" s="13"/>
      <c r="U2" s="13"/>
      <c r="V2" s="13"/>
      <c r="W2" s="13"/>
      <c r="X2" s="13"/>
      <c r="Y2" s="13"/>
    </row>
    <row r="3" spans="1:25" x14ac:dyDescent="0.2">
      <c r="A3" s="10" t="s">
        <v>64</v>
      </c>
      <c r="B3" s="6" t="s">
        <v>65</v>
      </c>
      <c r="C3" s="6" t="s">
        <v>66</v>
      </c>
      <c r="E3" s="10" t="s">
        <v>64</v>
      </c>
      <c r="F3" s="6" t="s">
        <v>67</v>
      </c>
      <c r="G3" s="6" t="s">
        <v>68</v>
      </c>
      <c r="H3" s="6" t="s">
        <v>69</v>
      </c>
      <c r="I3" s="6" t="s">
        <v>70</v>
      </c>
      <c r="J3" s="6" t="s">
        <v>71</v>
      </c>
      <c r="K3" s="6" t="s">
        <v>72</v>
      </c>
      <c r="L3" s="6" t="s">
        <v>73</v>
      </c>
      <c r="N3" s="10" t="s">
        <v>64</v>
      </c>
      <c r="O3" s="6" t="s">
        <v>65</v>
      </c>
      <c r="P3" s="6" t="s">
        <v>66</v>
      </c>
      <c r="R3" s="10" t="s">
        <v>64</v>
      </c>
      <c r="S3" s="6" t="s">
        <v>67</v>
      </c>
      <c r="T3" s="6" t="s">
        <v>68</v>
      </c>
      <c r="U3" s="6" t="s">
        <v>69</v>
      </c>
      <c r="V3" s="6" t="s">
        <v>70</v>
      </c>
      <c r="W3" s="6" t="s">
        <v>71</v>
      </c>
      <c r="X3" s="6" t="s">
        <v>72</v>
      </c>
      <c r="Y3" s="6" t="s">
        <v>73</v>
      </c>
    </row>
    <row r="4" spans="1:25" x14ac:dyDescent="0.2">
      <c r="A4" s="10" t="s">
        <v>79</v>
      </c>
      <c r="B4" s="6">
        <v>0</v>
      </c>
      <c r="C4" s="6">
        <v>0</v>
      </c>
      <c r="E4" s="10" t="s">
        <v>78</v>
      </c>
      <c r="F4" s="6">
        <v>100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N4" s="10" t="s">
        <v>78</v>
      </c>
      <c r="O4" s="6">
        <v>0</v>
      </c>
      <c r="P4" s="6">
        <v>100</v>
      </c>
      <c r="R4" s="10" t="s">
        <v>78</v>
      </c>
      <c r="S4" s="6">
        <v>100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</row>
    <row r="5" spans="1:25" x14ac:dyDescent="0.2">
      <c r="A5" s="10"/>
      <c r="B5" s="6">
        <v>0</v>
      </c>
      <c r="C5" s="6">
        <v>100</v>
      </c>
      <c r="E5" s="10"/>
      <c r="F5" s="6">
        <v>100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N5" s="10"/>
      <c r="O5" s="6">
        <v>0</v>
      </c>
      <c r="P5" s="6">
        <v>100</v>
      </c>
      <c r="R5" s="10"/>
      <c r="S5" s="6">
        <v>100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</row>
    <row r="6" spans="1:25" x14ac:dyDescent="0.2">
      <c r="A6" s="10"/>
      <c r="B6" s="6">
        <v>0</v>
      </c>
      <c r="C6" s="6">
        <v>100</v>
      </c>
      <c r="E6" s="10"/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N6" s="10"/>
      <c r="O6" s="6">
        <v>0</v>
      </c>
      <c r="P6" s="6">
        <v>0</v>
      </c>
      <c r="R6" s="10"/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2">
      <c r="A7" s="10"/>
      <c r="B7" s="6"/>
      <c r="C7" s="6"/>
      <c r="E7" s="10"/>
      <c r="F7" s="6"/>
      <c r="G7" s="6"/>
      <c r="H7" s="6"/>
      <c r="I7" s="6"/>
      <c r="J7" s="6"/>
      <c r="K7" s="6"/>
      <c r="L7" s="6"/>
      <c r="N7" s="10"/>
      <c r="O7" s="6"/>
      <c r="P7" s="6"/>
      <c r="R7" s="10"/>
      <c r="S7" s="6"/>
      <c r="T7" s="6"/>
      <c r="U7" s="6"/>
      <c r="V7" s="6"/>
      <c r="W7" s="6"/>
      <c r="X7" s="6"/>
      <c r="Y7" s="6"/>
    </row>
    <row r="8" spans="1:25" x14ac:dyDescent="0.2">
      <c r="A8" s="10" t="s">
        <v>81</v>
      </c>
      <c r="B8" s="6">
        <v>0</v>
      </c>
      <c r="C8" s="6">
        <v>100</v>
      </c>
      <c r="E8" s="10" t="s">
        <v>80</v>
      </c>
      <c r="F8" s="6">
        <v>100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N8" s="10" t="s">
        <v>80</v>
      </c>
      <c r="O8" s="6">
        <v>0</v>
      </c>
      <c r="P8" s="6">
        <v>100</v>
      </c>
      <c r="R8" s="10" t="s">
        <v>80</v>
      </c>
      <c r="S8" s="6">
        <v>100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2">
      <c r="A9" s="10"/>
      <c r="B9" s="6">
        <v>0</v>
      </c>
      <c r="C9" s="6">
        <v>100</v>
      </c>
      <c r="E9" s="10"/>
      <c r="F9" s="6">
        <v>100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N9" s="10"/>
      <c r="O9" s="6">
        <v>0</v>
      </c>
      <c r="P9" s="6">
        <v>0</v>
      </c>
      <c r="R9" s="10"/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2">
      <c r="A10" s="10"/>
      <c r="B10" s="6">
        <v>0</v>
      </c>
      <c r="C10" s="6">
        <v>100</v>
      </c>
      <c r="E10" s="10"/>
      <c r="F10" s="6">
        <v>100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N10" s="10"/>
      <c r="O10" s="6">
        <v>0</v>
      </c>
      <c r="P10" s="6">
        <v>100</v>
      </c>
      <c r="R10" s="10"/>
      <c r="S10" s="6">
        <v>100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  <row r="11" spans="1:25" x14ac:dyDescent="0.2">
      <c r="A11" s="10"/>
      <c r="B11" s="6"/>
      <c r="C11" s="6"/>
      <c r="E11" s="10"/>
      <c r="F11" s="6"/>
      <c r="G11" s="6"/>
      <c r="H11" s="6"/>
      <c r="I11" s="6"/>
      <c r="J11" s="6"/>
      <c r="K11" s="6"/>
      <c r="L11" s="6"/>
      <c r="N11" s="10"/>
      <c r="O11" s="6"/>
      <c r="P11" s="6"/>
      <c r="R11" s="10"/>
      <c r="S11" s="6"/>
      <c r="T11" s="6"/>
      <c r="U11" s="6"/>
      <c r="V11" s="6"/>
      <c r="W11" s="6"/>
      <c r="X11" s="6"/>
      <c r="Y11" s="6"/>
    </row>
    <row r="12" spans="1:25" x14ac:dyDescent="0.2">
      <c r="A12" s="10" t="s">
        <v>83</v>
      </c>
      <c r="B12" s="6">
        <v>0</v>
      </c>
      <c r="C12" s="6">
        <v>100</v>
      </c>
      <c r="E12" s="10" t="s">
        <v>82</v>
      </c>
      <c r="F12" s="6">
        <v>100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N12" s="10" t="s">
        <v>82</v>
      </c>
      <c r="O12" s="6">
        <v>0</v>
      </c>
      <c r="P12" s="6">
        <v>100</v>
      </c>
      <c r="R12" s="10" t="s">
        <v>82</v>
      </c>
      <c r="S12" s="6">
        <v>100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</row>
    <row r="13" spans="1:25" x14ac:dyDescent="0.2">
      <c r="A13" s="10"/>
      <c r="B13" s="6">
        <v>0</v>
      </c>
      <c r="C13" s="6">
        <v>100</v>
      </c>
      <c r="E13" s="10"/>
      <c r="F13" s="6">
        <v>100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N13" s="10"/>
      <c r="O13" s="6">
        <v>0</v>
      </c>
      <c r="P13" s="6">
        <v>100</v>
      </c>
      <c r="R13" s="10"/>
      <c r="S13" s="6">
        <v>100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</row>
    <row r="14" spans="1:25" x14ac:dyDescent="0.2">
      <c r="A14" s="10"/>
      <c r="B14" s="6">
        <v>0</v>
      </c>
      <c r="C14" s="6">
        <v>100</v>
      </c>
      <c r="E14" s="10"/>
      <c r="F14" s="6">
        <v>100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N14" s="10"/>
      <c r="O14" s="6">
        <v>0</v>
      </c>
      <c r="P14" s="6">
        <v>0</v>
      </c>
      <c r="R14" s="10"/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</row>
    <row r="15" spans="1:25" x14ac:dyDescent="0.2">
      <c r="A15" s="10"/>
      <c r="B15" s="6"/>
      <c r="C15" s="6"/>
      <c r="E15" s="10"/>
      <c r="F15" s="6"/>
      <c r="G15" s="6"/>
      <c r="H15" s="6"/>
      <c r="I15" s="6"/>
      <c r="J15" s="6"/>
      <c r="K15" s="6"/>
      <c r="L15" s="6"/>
      <c r="N15" s="10"/>
      <c r="O15" s="6"/>
      <c r="P15" s="6"/>
      <c r="R15" s="10"/>
      <c r="S15" s="6"/>
      <c r="T15" s="6"/>
      <c r="U15" s="6"/>
      <c r="V15" s="6"/>
      <c r="W15" s="6"/>
      <c r="X15" s="6"/>
      <c r="Y15" s="6"/>
    </row>
    <row r="16" spans="1:25" x14ac:dyDescent="0.2">
      <c r="A16" s="10" t="s">
        <v>85</v>
      </c>
      <c r="B16" s="6">
        <v>0</v>
      </c>
      <c r="C16" s="6">
        <v>100</v>
      </c>
      <c r="E16" s="10" t="s">
        <v>84</v>
      </c>
      <c r="F16" s="6">
        <v>100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N16" s="10" t="s">
        <v>84</v>
      </c>
      <c r="O16" s="6">
        <v>0</v>
      </c>
      <c r="P16" s="6">
        <v>100</v>
      </c>
      <c r="R16" s="10" t="s">
        <v>84</v>
      </c>
      <c r="S16" s="6">
        <v>100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</row>
    <row r="17" spans="1:25" x14ac:dyDescent="0.2">
      <c r="A17" s="10"/>
      <c r="B17" s="6">
        <v>0</v>
      </c>
      <c r="C17" s="6">
        <v>100</v>
      </c>
      <c r="E17" s="10"/>
      <c r="F17" s="6">
        <v>100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N17" s="10"/>
      <c r="O17" s="6">
        <v>0</v>
      </c>
      <c r="P17" s="6">
        <v>100</v>
      </c>
      <c r="R17" s="10"/>
      <c r="S17" s="6">
        <v>100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</row>
    <row r="18" spans="1:25" x14ac:dyDescent="0.2">
      <c r="A18" s="10"/>
      <c r="B18" s="6">
        <v>0</v>
      </c>
      <c r="C18" s="6">
        <v>100</v>
      </c>
      <c r="E18" s="10"/>
      <c r="F18" s="6">
        <v>100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N18" s="10"/>
      <c r="O18" s="6">
        <v>0</v>
      </c>
      <c r="P18" s="6">
        <v>0</v>
      </c>
      <c r="R18" s="10"/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</row>
    <row r="19" spans="1:25" x14ac:dyDescent="0.2">
      <c r="A19" s="11"/>
    </row>
    <row r="20" spans="1:25" x14ac:dyDescent="0.2">
      <c r="A20" s="13" t="s">
        <v>74</v>
      </c>
      <c r="B20" s="13"/>
      <c r="C20" s="13"/>
      <c r="E20" s="13" t="s">
        <v>74</v>
      </c>
      <c r="F20" s="13"/>
      <c r="G20" s="13"/>
      <c r="H20" s="13"/>
      <c r="I20" s="13"/>
      <c r="J20" s="13"/>
      <c r="K20" s="13"/>
      <c r="L20" s="13"/>
      <c r="N20" s="13" t="s">
        <v>74</v>
      </c>
      <c r="O20" s="13"/>
      <c r="P20" s="13"/>
      <c r="R20" s="13" t="s">
        <v>74</v>
      </c>
      <c r="S20" s="13"/>
      <c r="T20" s="13"/>
      <c r="U20" s="13"/>
      <c r="V20" s="13"/>
      <c r="W20" s="13"/>
      <c r="X20" s="13"/>
      <c r="Y20" s="13"/>
    </row>
    <row r="21" spans="1:25" x14ac:dyDescent="0.2">
      <c r="A21" s="10" t="s">
        <v>64</v>
      </c>
      <c r="B21" s="6" t="s">
        <v>65</v>
      </c>
      <c r="C21" s="6" t="s">
        <v>66</v>
      </c>
      <c r="E21" s="10" t="s">
        <v>64</v>
      </c>
      <c r="F21" s="6" t="s">
        <v>67</v>
      </c>
      <c r="G21" s="6" t="s">
        <v>68</v>
      </c>
      <c r="H21" s="6" t="s">
        <v>69</v>
      </c>
      <c r="I21" s="6" t="s">
        <v>70</v>
      </c>
      <c r="J21" s="6" t="s">
        <v>71</v>
      </c>
      <c r="K21" s="6" t="s">
        <v>72</v>
      </c>
      <c r="L21" s="6" t="s">
        <v>73</v>
      </c>
      <c r="N21" s="10" t="s">
        <v>64</v>
      </c>
      <c r="O21" s="6" t="s">
        <v>65</v>
      </c>
      <c r="P21" s="6" t="s">
        <v>66</v>
      </c>
      <c r="R21" s="10" t="s">
        <v>64</v>
      </c>
      <c r="S21" s="6" t="s">
        <v>67</v>
      </c>
      <c r="T21" s="6" t="s">
        <v>68</v>
      </c>
      <c r="U21" s="6" t="s">
        <v>69</v>
      </c>
      <c r="V21" s="6" t="s">
        <v>70</v>
      </c>
      <c r="W21" s="6" t="s">
        <v>71</v>
      </c>
      <c r="X21" s="6" t="s">
        <v>72</v>
      </c>
      <c r="Y21" s="6" t="s">
        <v>73</v>
      </c>
    </row>
    <row r="22" spans="1:25" x14ac:dyDescent="0.2">
      <c r="A22" s="10" t="s">
        <v>78</v>
      </c>
      <c r="B22" s="6">
        <v>0</v>
      </c>
      <c r="C22" s="6">
        <v>0</v>
      </c>
      <c r="E22" s="10" t="s">
        <v>78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N22" s="10" t="s">
        <v>78</v>
      </c>
      <c r="O22" s="6">
        <v>99</v>
      </c>
      <c r="P22" s="6">
        <v>1</v>
      </c>
      <c r="R22" s="10" t="s">
        <v>78</v>
      </c>
      <c r="S22" s="6">
        <v>100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</row>
    <row r="23" spans="1:25" x14ac:dyDescent="0.2">
      <c r="A23" s="10"/>
      <c r="B23" s="6">
        <v>98</v>
      </c>
      <c r="C23" s="6">
        <v>2</v>
      </c>
      <c r="E23" s="10"/>
      <c r="F23" s="6">
        <v>100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N23" s="10"/>
      <c r="O23" s="6">
        <v>98</v>
      </c>
      <c r="P23" s="6">
        <v>2</v>
      </c>
      <c r="R23" s="10"/>
      <c r="S23" s="6">
        <v>100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</row>
    <row r="24" spans="1:25" x14ac:dyDescent="0.2">
      <c r="A24" s="10"/>
      <c r="B24" s="6">
        <v>98</v>
      </c>
      <c r="C24" s="6">
        <v>2</v>
      </c>
      <c r="E24" s="10"/>
      <c r="F24" s="6">
        <v>100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N24" s="10"/>
      <c r="O24" s="6">
        <v>99</v>
      </c>
      <c r="P24" s="6">
        <v>1</v>
      </c>
      <c r="R24" s="10"/>
      <c r="S24" s="6">
        <v>100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</row>
    <row r="25" spans="1:25" x14ac:dyDescent="0.2">
      <c r="A25" s="10"/>
      <c r="B25" s="6"/>
      <c r="C25" s="6"/>
      <c r="E25" s="10"/>
      <c r="F25" s="6"/>
      <c r="G25" s="6"/>
      <c r="H25" s="6"/>
      <c r="I25" s="6"/>
      <c r="J25" s="6"/>
      <c r="K25" s="6"/>
      <c r="L25" s="6"/>
      <c r="N25" s="10"/>
      <c r="O25" s="6"/>
      <c r="P25" s="6"/>
      <c r="R25" s="10"/>
      <c r="S25" s="6"/>
      <c r="T25" s="6"/>
      <c r="U25" s="6"/>
      <c r="V25" s="6"/>
      <c r="W25" s="6"/>
      <c r="X25" s="6"/>
      <c r="Y25" s="6"/>
    </row>
    <row r="26" spans="1:25" x14ac:dyDescent="0.2">
      <c r="A26" s="10" t="s">
        <v>80</v>
      </c>
      <c r="B26" s="6">
        <v>85</v>
      </c>
      <c r="C26" s="6">
        <v>15</v>
      </c>
      <c r="E26" s="10" t="s">
        <v>80</v>
      </c>
      <c r="F26" s="6">
        <v>100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N26" s="10" t="s">
        <v>80</v>
      </c>
      <c r="O26" s="6">
        <v>99</v>
      </c>
      <c r="P26" s="6">
        <v>1</v>
      </c>
      <c r="R26" s="10" t="s">
        <v>80</v>
      </c>
      <c r="S26" s="6">
        <v>100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</row>
    <row r="27" spans="1:25" x14ac:dyDescent="0.2">
      <c r="A27" s="10"/>
      <c r="B27" s="6">
        <v>95</v>
      </c>
      <c r="C27" s="6">
        <v>5</v>
      </c>
      <c r="E27" s="10"/>
      <c r="F27" s="6">
        <v>100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N27" s="10"/>
      <c r="O27" s="6">
        <v>99</v>
      </c>
      <c r="P27" s="6">
        <v>1</v>
      </c>
      <c r="R27" s="10"/>
      <c r="S27" s="6">
        <v>92.1</v>
      </c>
      <c r="T27" s="6">
        <v>0</v>
      </c>
      <c r="U27" s="6">
        <v>8</v>
      </c>
      <c r="V27" s="6">
        <v>0</v>
      </c>
      <c r="W27" s="6">
        <v>0</v>
      </c>
      <c r="X27" s="6">
        <v>0</v>
      </c>
      <c r="Y27" s="6">
        <v>0</v>
      </c>
    </row>
    <row r="28" spans="1:25" x14ac:dyDescent="0.2">
      <c r="A28" s="10"/>
      <c r="B28" s="6">
        <v>0</v>
      </c>
      <c r="C28" s="6">
        <v>0</v>
      </c>
      <c r="E28" s="10"/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N28" s="10"/>
      <c r="O28" s="6">
        <v>0</v>
      </c>
      <c r="P28" s="6">
        <v>0</v>
      </c>
      <c r="R28" s="10"/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</row>
    <row r="29" spans="1:25" x14ac:dyDescent="0.2">
      <c r="A29" s="10"/>
      <c r="B29" s="6"/>
      <c r="C29" s="6"/>
      <c r="E29" s="10"/>
      <c r="F29" s="6"/>
      <c r="G29" s="6"/>
      <c r="H29" s="6"/>
      <c r="I29" s="6"/>
      <c r="J29" s="6"/>
      <c r="K29" s="6"/>
      <c r="L29" s="6"/>
      <c r="N29" s="10"/>
      <c r="O29" s="6"/>
      <c r="P29" s="6"/>
      <c r="R29" s="10"/>
      <c r="S29" s="6"/>
      <c r="T29" s="6"/>
      <c r="U29" s="6"/>
      <c r="V29" s="6"/>
      <c r="W29" s="6"/>
      <c r="X29" s="6"/>
      <c r="Y29" s="6"/>
    </row>
    <row r="30" spans="1:25" x14ac:dyDescent="0.2">
      <c r="A30" s="10" t="s">
        <v>82</v>
      </c>
      <c r="B30" s="6">
        <v>66</v>
      </c>
      <c r="C30" s="6">
        <v>34</v>
      </c>
      <c r="E30" s="10" t="s">
        <v>82</v>
      </c>
      <c r="F30" s="6">
        <v>79</v>
      </c>
      <c r="G30" s="6">
        <v>0</v>
      </c>
      <c r="H30" s="6">
        <v>21</v>
      </c>
      <c r="I30" s="6">
        <v>0</v>
      </c>
      <c r="J30" s="6">
        <v>0</v>
      </c>
      <c r="K30" s="6">
        <v>0</v>
      </c>
      <c r="L30" s="6">
        <v>0</v>
      </c>
      <c r="N30" s="10" t="s">
        <v>82</v>
      </c>
      <c r="O30" s="6">
        <v>98</v>
      </c>
      <c r="P30" s="6">
        <v>2</v>
      </c>
      <c r="R30" s="10" t="s">
        <v>82</v>
      </c>
      <c r="S30" s="6">
        <v>100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</row>
    <row r="31" spans="1:25" x14ac:dyDescent="0.2">
      <c r="A31" s="10"/>
      <c r="B31" s="6">
        <v>0</v>
      </c>
      <c r="C31" s="6">
        <v>0</v>
      </c>
      <c r="E31" s="10"/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N31" s="10"/>
      <c r="O31" s="6">
        <v>0</v>
      </c>
      <c r="P31" s="6">
        <v>0</v>
      </c>
      <c r="R31" s="10"/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</row>
    <row r="32" spans="1:25" x14ac:dyDescent="0.2">
      <c r="A32" s="10"/>
      <c r="B32" s="6">
        <v>0</v>
      </c>
      <c r="C32" s="6">
        <v>0</v>
      </c>
      <c r="E32" s="10"/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N32" s="10"/>
      <c r="O32" s="6">
        <v>0</v>
      </c>
      <c r="P32" s="6">
        <v>0</v>
      </c>
      <c r="R32" s="10"/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</row>
    <row r="33" spans="1:25" x14ac:dyDescent="0.2">
      <c r="A33" s="10"/>
      <c r="B33" s="6"/>
      <c r="C33" s="6"/>
      <c r="E33" s="10"/>
      <c r="F33" s="6"/>
      <c r="G33" s="6"/>
      <c r="H33" s="6"/>
      <c r="I33" s="6"/>
      <c r="J33" s="6"/>
      <c r="K33" s="6"/>
      <c r="L33" s="6"/>
      <c r="N33" s="10"/>
      <c r="O33" s="6"/>
      <c r="P33" s="6"/>
      <c r="R33" s="10"/>
      <c r="S33" s="6"/>
      <c r="T33" s="6"/>
      <c r="U33" s="6"/>
      <c r="V33" s="6"/>
      <c r="W33" s="6"/>
      <c r="X33" s="6"/>
      <c r="Y33" s="6"/>
    </row>
    <row r="34" spans="1:25" x14ac:dyDescent="0.2">
      <c r="A34" s="10" t="s">
        <v>84</v>
      </c>
      <c r="B34" s="6">
        <v>65</v>
      </c>
      <c r="C34" s="6">
        <v>35</v>
      </c>
      <c r="E34" s="10" t="s">
        <v>84</v>
      </c>
      <c r="F34" s="6">
        <v>79</v>
      </c>
      <c r="G34" s="6">
        <v>0</v>
      </c>
      <c r="H34" s="6">
        <v>21</v>
      </c>
      <c r="I34" s="6">
        <v>0</v>
      </c>
      <c r="J34" s="6">
        <v>0</v>
      </c>
      <c r="K34" s="6">
        <v>0</v>
      </c>
      <c r="L34" s="6">
        <v>0</v>
      </c>
      <c r="N34" s="10" t="s">
        <v>84</v>
      </c>
      <c r="O34" s="6">
        <v>98</v>
      </c>
      <c r="P34" s="6">
        <v>2</v>
      </c>
      <c r="R34" s="10" t="s">
        <v>84</v>
      </c>
      <c r="S34" s="6">
        <v>91</v>
      </c>
      <c r="T34" s="6">
        <v>0</v>
      </c>
      <c r="U34" s="6">
        <v>9</v>
      </c>
      <c r="V34" s="6">
        <v>0</v>
      </c>
      <c r="W34" s="6">
        <v>0</v>
      </c>
      <c r="X34" s="6">
        <v>0</v>
      </c>
      <c r="Y34" s="6">
        <v>0</v>
      </c>
    </row>
    <row r="35" spans="1:25" x14ac:dyDescent="0.2">
      <c r="A35" s="10"/>
      <c r="B35" s="6">
        <v>66</v>
      </c>
      <c r="C35" s="6">
        <v>34</v>
      </c>
      <c r="E35" s="10"/>
      <c r="F35" s="6">
        <v>78</v>
      </c>
      <c r="G35" s="6">
        <v>0</v>
      </c>
      <c r="H35" s="6">
        <v>22</v>
      </c>
      <c r="I35" s="6">
        <v>0</v>
      </c>
      <c r="J35" s="6">
        <v>0</v>
      </c>
      <c r="K35" s="6">
        <v>0</v>
      </c>
      <c r="L35" s="6">
        <v>0</v>
      </c>
      <c r="N35" s="10"/>
      <c r="O35" s="6">
        <v>98</v>
      </c>
      <c r="P35" s="6">
        <v>2</v>
      </c>
      <c r="R35" s="10"/>
      <c r="S35" s="6">
        <v>100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</row>
    <row r="36" spans="1:25" x14ac:dyDescent="0.2">
      <c r="A36" s="10"/>
      <c r="B36" s="6">
        <v>0</v>
      </c>
      <c r="C36" s="6">
        <v>0</v>
      </c>
      <c r="E36" s="10"/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N36" s="10"/>
      <c r="O36" s="6">
        <v>0</v>
      </c>
      <c r="P36" s="6">
        <v>0</v>
      </c>
      <c r="R36" s="10"/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</row>
    <row r="38" spans="1:25" x14ac:dyDescent="0.2">
      <c r="A38" s="13" t="s">
        <v>75</v>
      </c>
      <c r="B38" s="13"/>
      <c r="C38" s="13"/>
      <c r="E38" s="13" t="s">
        <v>75</v>
      </c>
      <c r="F38" s="13"/>
      <c r="G38" s="13"/>
      <c r="H38" s="13"/>
      <c r="I38" s="13"/>
      <c r="J38" s="13"/>
      <c r="K38" s="13"/>
      <c r="L38" s="13"/>
      <c r="N38" s="13" t="s">
        <v>75</v>
      </c>
      <c r="O38" s="13"/>
      <c r="P38" s="13"/>
      <c r="R38" s="13" t="s">
        <v>75</v>
      </c>
      <c r="S38" s="13"/>
      <c r="T38" s="13"/>
      <c r="U38" s="13"/>
      <c r="V38" s="13"/>
      <c r="W38" s="13"/>
      <c r="X38" s="13"/>
      <c r="Y38" s="13"/>
    </row>
    <row r="39" spans="1:25" x14ac:dyDescent="0.2">
      <c r="A39" s="6" t="s">
        <v>64</v>
      </c>
      <c r="B39" s="6" t="s">
        <v>65</v>
      </c>
      <c r="C39" s="6" t="s">
        <v>66</v>
      </c>
      <c r="E39" s="10" t="s">
        <v>64</v>
      </c>
      <c r="F39" s="6" t="s">
        <v>67</v>
      </c>
      <c r="G39" s="6" t="s">
        <v>68</v>
      </c>
      <c r="H39" s="6" t="s">
        <v>69</v>
      </c>
      <c r="I39" s="6" t="s">
        <v>70</v>
      </c>
      <c r="J39" s="6" t="s">
        <v>71</v>
      </c>
      <c r="K39" s="6" t="s">
        <v>72</v>
      </c>
      <c r="L39" s="6" t="s">
        <v>73</v>
      </c>
      <c r="N39" s="10" t="s">
        <v>64</v>
      </c>
      <c r="O39" s="6" t="s">
        <v>65</v>
      </c>
      <c r="P39" s="6" t="s">
        <v>66</v>
      </c>
      <c r="R39" s="10" t="s">
        <v>64</v>
      </c>
      <c r="S39" s="6" t="s">
        <v>67</v>
      </c>
      <c r="T39" s="6" t="s">
        <v>68</v>
      </c>
      <c r="U39" s="6" t="s">
        <v>69</v>
      </c>
      <c r="V39" s="6" t="s">
        <v>70</v>
      </c>
      <c r="W39" s="6" t="s">
        <v>71</v>
      </c>
      <c r="X39" s="6" t="s">
        <v>72</v>
      </c>
      <c r="Y39" s="6" t="s">
        <v>73</v>
      </c>
    </row>
    <row r="40" spans="1:25" x14ac:dyDescent="0.2">
      <c r="A40" s="10" t="s">
        <v>78</v>
      </c>
      <c r="B40" s="6">
        <v>98</v>
      </c>
      <c r="C40" s="6">
        <v>2</v>
      </c>
      <c r="E40" s="10" t="s">
        <v>78</v>
      </c>
      <c r="F40" s="6">
        <v>4</v>
      </c>
      <c r="G40" s="6">
        <v>0</v>
      </c>
      <c r="H40" s="6">
        <v>96</v>
      </c>
      <c r="I40" s="6">
        <v>0</v>
      </c>
      <c r="J40" s="6">
        <v>0</v>
      </c>
      <c r="K40" s="6">
        <v>0</v>
      </c>
      <c r="L40" s="6">
        <v>0</v>
      </c>
      <c r="N40" s="10" t="s">
        <v>78</v>
      </c>
      <c r="O40" s="6">
        <v>0</v>
      </c>
      <c r="P40" s="6">
        <v>0</v>
      </c>
      <c r="R40" s="10" t="s">
        <v>78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6">
        <v>0</v>
      </c>
      <c r="Y40" s="6">
        <v>0</v>
      </c>
    </row>
    <row r="41" spans="1:25" x14ac:dyDescent="0.2">
      <c r="A41" s="10"/>
      <c r="B41" s="6">
        <v>65</v>
      </c>
      <c r="C41" s="6">
        <v>35</v>
      </c>
      <c r="E41" s="10"/>
      <c r="F41" s="6">
        <v>78</v>
      </c>
      <c r="G41" s="6">
        <v>12</v>
      </c>
      <c r="H41" s="6">
        <v>0</v>
      </c>
      <c r="I41" s="6">
        <v>10</v>
      </c>
      <c r="J41" s="6">
        <v>0</v>
      </c>
      <c r="K41" s="6">
        <v>0</v>
      </c>
      <c r="L41" s="6">
        <v>0</v>
      </c>
      <c r="N41" s="10"/>
      <c r="O41" s="6">
        <v>99.7</v>
      </c>
      <c r="P41" s="6">
        <v>0.3</v>
      </c>
      <c r="R41" s="10"/>
      <c r="S41" s="6">
        <v>0.5</v>
      </c>
      <c r="T41" s="6">
        <v>0</v>
      </c>
      <c r="U41" s="6">
        <v>99.5</v>
      </c>
      <c r="V41" s="6">
        <v>0</v>
      </c>
      <c r="W41" s="6">
        <v>0</v>
      </c>
      <c r="X41" s="6">
        <v>0</v>
      </c>
      <c r="Y41" s="6">
        <v>0</v>
      </c>
    </row>
    <row r="42" spans="1:25" x14ac:dyDescent="0.2">
      <c r="A42" s="10"/>
      <c r="B42" s="6">
        <v>74</v>
      </c>
      <c r="C42" s="6">
        <v>26</v>
      </c>
      <c r="E42" s="10"/>
      <c r="F42" s="6">
        <v>42</v>
      </c>
      <c r="G42" s="6">
        <v>17</v>
      </c>
      <c r="H42" s="6">
        <v>31</v>
      </c>
      <c r="I42" s="6">
        <v>0</v>
      </c>
      <c r="J42" s="6">
        <v>10</v>
      </c>
      <c r="K42" s="6">
        <v>0</v>
      </c>
      <c r="L42" s="6">
        <v>0</v>
      </c>
      <c r="N42" s="10"/>
      <c r="O42" s="6">
        <v>99.7</v>
      </c>
      <c r="P42" s="6">
        <v>0.3</v>
      </c>
      <c r="R42" s="10"/>
      <c r="S42" s="6">
        <v>2</v>
      </c>
      <c r="T42" s="6">
        <v>80</v>
      </c>
      <c r="U42" s="6">
        <v>18</v>
      </c>
      <c r="V42" s="6">
        <v>0</v>
      </c>
      <c r="W42" s="6">
        <v>0</v>
      </c>
      <c r="X42" s="6">
        <v>0</v>
      </c>
      <c r="Y42" s="6">
        <v>0</v>
      </c>
    </row>
    <row r="43" spans="1:25" x14ac:dyDescent="0.2">
      <c r="A43" s="10"/>
      <c r="B43" s="6"/>
      <c r="C43" s="6"/>
      <c r="E43" s="10"/>
      <c r="F43" s="6"/>
      <c r="G43" s="6"/>
      <c r="H43" s="6"/>
      <c r="I43" s="6"/>
      <c r="J43" s="6"/>
      <c r="K43" s="6"/>
      <c r="L43" s="6"/>
      <c r="N43" s="10"/>
      <c r="O43" s="6"/>
      <c r="P43" s="6"/>
      <c r="R43" s="10"/>
      <c r="S43" s="6"/>
      <c r="T43" s="6"/>
      <c r="U43" s="6"/>
      <c r="V43" s="6"/>
      <c r="W43" s="6"/>
      <c r="X43" s="6"/>
      <c r="Y43" s="6"/>
    </row>
    <row r="44" spans="1:25" x14ac:dyDescent="0.2">
      <c r="A44" s="10" t="s">
        <v>80</v>
      </c>
      <c r="B44" s="6">
        <v>94</v>
      </c>
      <c r="C44" s="6">
        <v>6</v>
      </c>
      <c r="E44" s="10" t="s">
        <v>80</v>
      </c>
      <c r="F44" s="6">
        <v>34</v>
      </c>
      <c r="G44" s="6">
        <v>15</v>
      </c>
      <c r="H44" s="6">
        <v>0</v>
      </c>
      <c r="I44" s="6">
        <v>45</v>
      </c>
      <c r="J44" s="6">
        <v>6</v>
      </c>
      <c r="K44" s="6">
        <v>0</v>
      </c>
      <c r="L44" s="6">
        <v>0</v>
      </c>
      <c r="N44" s="10" t="s">
        <v>80</v>
      </c>
      <c r="O44" s="6">
        <v>0</v>
      </c>
      <c r="P44" s="6">
        <v>0</v>
      </c>
      <c r="R44" s="10" t="s">
        <v>80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</row>
    <row r="45" spans="1:25" x14ac:dyDescent="0.2">
      <c r="A45" s="10"/>
      <c r="B45" s="6">
        <v>67</v>
      </c>
      <c r="C45" s="6">
        <v>33</v>
      </c>
      <c r="E45" s="10"/>
      <c r="F45" s="6">
        <v>55</v>
      </c>
      <c r="G45" s="6">
        <v>22</v>
      </c>
      <c r="H45" s="6">
        <v>10</v>
      </c>
      <c r="I45" s="6">
        <v>0</v>
      </c>
      <c r="J45" s="6">
        <v>13</v>
      </c>
      <c r="K45" s="6">
        <v>0</v>
      </c>
      <c r="L45" s="6">
        <v>0</v>
      </c>
      <c r="N45" s="10"/>
      <c r="O45" s="6">
        <v>90</v>
      </c>
      <c r="P45" s="6">
        <v>10</v>
      </c>
      <c r="R45" s="10"/>
      <c r="S45" s="6">
        <v>13</v>
      </c>
      <c r="T45" s="6">
        <v>6</v>
      </c>
      <c r="U45" s="6">
        <v>0</v>
      </c>
      <c r="V45" s="6">
        <v>0</v>
      </c>
      <c r="W45" s="6">
        <v>4</v>
      </c>
      <c r="X45" s="6">
        <v>77</v>
      </c>
      <c r="Y45" s="6">
        <v>0</v>
      </c>
    </row>
    <row r="46" spans="1:25" x14ac:dyDescent="0.2">
      <c r="A46" s="10"/>
      <c r="B46" s="6">
        <v>66</v>
      </c>
      <c r="C46" s="6">
        <v>34</v>
      </c>
      <c r="E46" s="10"/>
      <c r="F46" s="6">
        <v>14</v>
      </c>
      <c r="G46" s="6">
        <v>6</v>
      </c>
      <c r="H46" s="6">
        <v>0</v>
      </c>
      <c r="I46" s="6">
        <v>0</v>
      </c>
      <c r="J46" s="6">
        <v>0</v>
      </c>
      <c r="K46" s="6">
        <v>40</v>
      </c>
      <c r="L46" s="6">
        <v>40</v>
      </c>
      <c r="N46" s="10"/>
      <c r="O46" s="6">
        <v>98</v>
      </c>
      <c r="P46" s="6">
        <v>2</v>
      </c>
      <c r="R46" s="10"/>
      <c r="S46" s="6">
        <v>3</v>
      </c>
      <c r="T46" s="6">
        <v>0</v>
      </c>
      <c r="U46" s="6">
        <v>97</v>
      </c>
      <c r="V46" s="6">
        <v>3</v>
      </c>
      <c r="W46" s="6">
        <v>0</v>
      </c>
      <c r="X46" s="6">
        <v>40</v>
      </c>
      <c r="Y46" s="6">
        <v>40</v>
      </c>
    </row>
    <row r="47" spans="1:25" x14ac:dyDescent="0.2">
      <c r="A47" s="10"/>
      <c r="B47" s="6"/>
      <c r="C47" s="6"/>
      <c r="E47" s="10"/>
      <c r="F47" s="6"/>
      <c r="G47" s="6"/>
      <c r="H47" s="6"/>
      <c r="I47" s="6"/>
      <c r="J47" s="6"/>
      <c r="K47" s="6"/>
      <c r="L47" s="6"/>
      <c r="N47" s="10"/>
      <c r="O47" s="6"/>
      <c r="P47" s="6"/>
      <c r="R47" s="10"/>
      <c r="S47" s="6"/>
      <c r="T47" s="6"/>
      <c r="U47" s="6"/>
      <c r="V47" s="6"/>
      <c r="W47" s="6"/>
      <c r="X47" s="6"/>
      <c r="Y47" s="6"/>
    </row>
    <row r="48" spans="1:25" x14ac:dyDescent="0.2">
      <c r="A48" s="10" t="s">
        <v>82</v>
      </c>
      <c r="B48" s="6">
        <v>71</v>
      </c>
      <c r="C48" s="6">
        <v>29</v>
      </c>
      <c r="E48" s="10" t="s">
        <v>82</v>
      </c>
      <c r="F48" s="6">
        <v>11</v>
      </c>
      <c r="G48" s="6">
        <v>4</v>
      </c>
      <c r="H48" s="6">
        <v>83</v>
      </c>
      <c r="I48" s="6">
        <v>0</v>
      </c>
      <c r="J48" s="6">
        <v>0</v>
      </c>
      <c r="K48" s="6">
        <v>2</v>
      </c>
      <c r="L48" s="6">
        <v>0</v>
      </c>
      <c r="N48" s="10" t="s">
        <v>82</v>
      </c>
      <c r="O48" s="6">
        <v>65</v>
      </c>
      <c r="P48" s="6">
        <v>35</v>
      </c>
      <c r="R48" s="10" t="s">
        <v>82</v>
      </c>
      <c r="S48" s="6">
        <v>58</v>
      </c>
      <c r="T48" s="6">
        <v>21</v>
      </c>
      <c r="U48" s="6">
        <v>8</v>
      </c>
      <c r="V48" s="6">
        <v>0</v>
      </c>
      <c r="W48" s="6">
        <v>13</v>
      </c>
      <c r="X48" s="6">
        <v>0</v>
      </c>
      <c r="Y48" s="6">
        <v>0</v>
      </c>
    </row>
    <row r="49" spans="1:25" x14ac:dyDescent="0.2">
      <c r="A49" s="10"/>
      <c r="B49" s="6">
        <v>64</v>
      </c>
      <c r="C49" s="6">
        <v>36</v>
      </c>
      <c r="E49" s="10"/>
      <c r="F49" s="6">
        <v>58</v>
      </c>
      <c r="G49" s="6">
        <v>20</v>
      </c>
      <c r="H49" s="6">
        <v>10</v>
      </c>
      <c r="I49" s="6">
        <v>0</v>
      </c>
      <c r="J49" s="6">
        <v>12</v>
      </c>
      <c r="K49" s="6">
        <v>0</v>
      </c>
      <c r="L49" s="6">
        <v>0</v>
      </c>
      <c r="N49" s="10"/>
      <c r="O49" s="6">
        <v>0</v>
      </c>
      <c r="P49" s="6">
        <v>0</v>
      </c>
      <c r="R49" s="10"/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</row>
    <row r="50" spans="1:25" x14ac:dyDescent="0.2">
      <c r="A50" s="10"/>
      <c r="B50" s="6">
        <v>66</v>
      </c>
      <c r="C50" s="6">
        <v>34</v>
      </c>
      <c r="E50" s="10"/>
      <c r="F50" s="12">
        <v>62</v>
      </c>
      <c r="G50" s="12">
        <v>23</v>
      </c>
      <c r="H50" s="12">
        <v>5</v>
      </c>
      <c r="I50" s="12">
        <v>0</v>
      </c>
      <c r="J50" s="12">
        <v>10</v>
      </c>
      <c r="K50" s="12">
        <v>0</v>
      </c>
      <c r="L50" s="12">
        <v>0</v>
      </c>
      <c r="N50" s="10"/>
      <c r="O50" s="6">
        <v>65</v>
      </c>
      <c r="P50" s="6">
        <v>35</v>
      </c>
      <c r="R50" s="10"/>
      <c r="S50" s="6">
        <v>58</v>
      </c>
      <c r="T50" s="6">
        <v>21</v>
      </c>
      <c r="U50" s="6">
        <v>8</v>
      </c>
      <c r="V50" s="6">
        <v>0</v>
      </c>
      <c r="W50" s="6">
        <v>13</v>
      </c>
      <c r="X50" s="6">
        <v>0</v>
      </c>
      <c r="Y50" s="6">
        <v>0</v>
      </c>
    </row>
    <row r="51" spans="1:25" x14ac:dyDescent="0.2">
      <c r="A51" s="10"/>
      <c r="B51" s="6"/>
      <c r="C51" s="6"/>
      <c r="E51" s="10"/>
      <c r="F51" s="6"/>
      <c r="G51" s="6"/>
      <c r="H51" s="6"/>
      <c r="I51" s="6"/>
      <c r="J51" s="6"/>
      <c r="K51" s="6"/>
      <c r="L51" s="6"/>
      <c r="N51" s="10"/>
      <c r="O51" s="6"/>
      <c r="P51" s="6"/>
      <c r="R51" s="10"/>
      <c r="S51" s="6"/>
      <c r="T51" s="6"/>
      <c r="U51" s="6"/>
      <c r="V51" s="6"/>
      <c r="W51" s="6"/>
      <c r="X51" s="6"/>
      <c r="Y51" s="6"/>
    </row>
    <row r="52" spans="1:25" x14ac:dyDescent="0.2">
      <c r="A52" s="10" t="s">
        <v>84</v>
      </c>
      <c r="B52" s="6">
        <v>65</v>
      </c>
      <c r="C52" s="6">
        <v>35</v>
      </c>
      <c r="E52" s="10" t="s">
        <v>84</v>
      </c>
      <c r="F52" s="6">
        <v>62</v>
      </c>
      <c r="G52" s="6">
        <v>20</v>
      </c>
      <c r="H52" s="6">
        <v>7</v>
      </c>
      <c r="I52" s="6">
        <v>0</v>
      </c>
      <c r="J52" s="6">
        <v>11</v>
      </c>
      <c r="K52" s="6">
        <v>0</v>
      </c>
      <c r="L52" s="6">
        <v>0</v>
      </c>
      <c r="N52" s="10" t="s">
        <v>84</v>
      </c>
      <c r="O52" s="6">
        <v>67</v>
      </c>
      <c r="P52" s="6">
        <v>33</v>
      </c>
      <c r="R52" s="10" t="s">
        <v>84</v>
      </c>
      <c r="S52" s="6">
        <v>57</v>
      </c>
      <c r="T52" s="6">
        <v>21</v>
      </c>
      <c r="U52" s="6">
        <v>9</v>
      </c>
      <c r="V52" s="6">
        <v>0</v>
      </c>
      <c r="W52" s="6">
        <v>13</v>
      </c>
      <c r="X52" s="6">
        <v>0</v>
      </c>
      <c r="Y52" s="6">
        <v>0</v>
      </c>
    </row>
    <row r="53" spans="1:25" x14ac:dyDescent="0.2">
      <c r="A53" s="10"/>
      <c r="B53" s="6">
        <v>17</v>
      </c>
      <c r="C53" s="6">
        <v>83</v>
      </c>
      <c r="E53" s="10"/>
      <c r="F53" s="6">
        <v>58</v>
      </c>
      <c r="G53" s="6">
        <v>22</v>
      </c>
      <c r="H53" s="6">
        <v>8</v>
      </c>
      <c r="I53" s="6">
        <v>12</v>
      </c>
      <c r="J53" s="6">
        <v>0</v>
      </c>
      <c r="K53" s="6">
        <v>0</v>
      </c>
      <c r="L53" s="6">
        <v>0</v>
      </c>
      <c r="N53" s="10"/>
      <c r="O53" s="6">
        <v>65</v>
      </c>
      <c r="P53" s="6">
        <v>35</v>
      </c>
      <c r="R53" s="10"/>
      <c r="S53" s="6">
        <v>58</v>
      </c>
      <c r="T53" s="6">
        <v>22</v>
      </c>
      <c r="U53" s="6">
        <v>7</v>
      </c>
      <c r="V53" s="6">
        <v>0</v>
      </c>
      <c r="W53" s="6">
        <v>13</v>
      </c>
      <c r="X53" s="6">
        <v>0</v>
      </c>
      <c r="Y53" s="6">
        <v>0</v>
      </c>
    </row>
    <row r="54" spans="1:25" x14ac:dyDescent="0.2">
      <c r="A54" s="10"/>
      <c r="B54" s="6">
        <v>0</v>
      </c>
      <c r="C54" s="6">
        <v>0</v>
      </c>
      <c r="E54" s="10"/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N54" s="10"/>
      <c r="O54" s="6">
        <v>0</v>
      </c>
      <c r="P54" s="6">
        <v>0</v>
      </c>
      <c r="R54" s="10"/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</row>
  </sheetData>
  <mergeCells count="14">
    <mergeCell ref="N38:P38"/>
    <mergeCell ref="R38:Y38"/>
    <mergeCell ref="A1:L1"/>
    <mergeCell ref="N2:P2"/>
    <mergeCell ref="R2:Y2"/>
    <mergeCell ref="N1:Y1"/>
    <mergeCell ref="N20:P20"/>
    <mergeCell ref="R20:Y20"/>
    <mergeCell ref="A2:C2"/>
    <mergeCell ref="A20:C20"/>
    <mergeCell ref="A38:C38"/>
    <mergeCell ref="E2:L2"/>
    <mergeCell ref="E20:L20"/>
    <mergeCell ref="E38:L3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Fig5a</vt:lpstr>
      <vt:lpstr>Fig5b</vt:lpstr>
      <vt:lpstr>Fig5c-5d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2025-11-27T14:34:53Z</dcterms:modified>
</cp:coreProperties>
</file>