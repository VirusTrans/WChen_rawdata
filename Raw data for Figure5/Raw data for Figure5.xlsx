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gure5a" sheetId="1" r:id="rId1"/>
    <sheet name="Figure5b" sheetId="2" r:id="rId2"/>
    <sheet name="Figure5c-5d" sheetId="3" r:id="rId3"/>
    <sheet name="Figure5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6" i="2" l="1"/>
  <c r="U37" i="2" l="1"/>
  <c r="U38" i="2"/>
  <c r="U39" i="2"/>
  <c r="U40" i="2"/>
  <c r="U41" i="2"/>
  <c r="U42" i="2"/>
  <c r="U43" i="2"/>
  <c r="U44" i="2"/>
  <c r="U45" i="2"/>
  <c r="U46" i="2"/>
  <c r="U47" i="2"/>
  <c r="U36" i="2"/>
  <c r="M37" i="2"/>
  <c r="M38" i="2"/>
  <c r="M39" i="2"/>
  <c r="M40" i="2"/>
  <c r="M41" i="2"/>
  <c r="M43" i="2"/>
  <c r="M44" i="2"/>
  <c r="M45" i="2"/>
  <c r="M47" i="2"/>
  <c r="M36" i="2"/>
  <c r="E10" i="2"/>
  <c r="E11" i="2"/>
  <c r="E12" i="2"/>
  <c r="E13" i="2"/>
  <c r="E14" i="2"/>
  <c r="E15" i="2"/>
  <c r="W47" i="2" l="1"/>
  <c r="W31" i="2"/>
  <c r="W46" i="2"/>
  <c r="W30" i="2"/>
  <c r="W45" i="2"/>
  <c r="W29" i="2"/>
  <c r="W44" i="2"/>
  <c r="W28" i="2"/>
  <c r="W43" i="2"/>
  <c r="W27" i="2"/>
  <c r="W42" i="2"/>
  <c r="W26" i="2"/>
  <c r="W41" i="2"/>
  <c r="W25" i="2"/>
  <c r="W40" i="2"/>
  <c r="W24" i="2"/>
  <c r="W39" i="2"/>
  <c r="W23" i="2"/>
  <c r="W38" i="2"/>
  <c r="W22" i="2"/>
  <c r="W37" i="2"/>
  <c r="W21" i="2"/>
  <c r="W20" i="2"/>
  <c r="O47" i="2"/>
  <c r="O31" i="2"/>
  <c r="O46" i="2"/>
  <c r="O30" i="2"/>
  <c r="O45" i="2"/>
  <c r="O29" i="2"/>
  <c r="O44" i="2"/>
  <c r="O28" i="2"/>
  <c r="O43" i="2"/>
  <c r="O27" i="2"/>
  <c r="O42" i="2"/>
  <c r="O26" i="2"/>
  <c r="O41" i="2"/>
  <c r="O25" i="2"/>
  <c r="O40" i="2"/>
  <c r="O24" i="2"/>
  <c r="O39" i="2"/>
  <c r="O23" i="2"/>
  <c r="O38" i="2"/>
  <c r="O22" i="2"/>
  <c r="O37" i="2"/>
  <c r="O21" i="2"/>
  <c r="O36" i="2"/>
  <c r="O20" i="2"/>
  <c r="G47" i="2"/>
  <c r="G31" i="2"/>
  <c r="G46" i="2"/>
  <c r="G30" i="2"/>
  <c r="G45" i="2"/>
  <c r="G29" i="2"/>
  <c r="G44" i="2"/>
  <c r="G28" i="2"/>
  <c r="G43" i="2"/>
  <c r="G27" i="2"/>
  <c r="G42" i="2"/>
  <c r="G26" i="2"/>
  <c r="G41" i="2"/>
  <c r="G25" i="2"/>
  <c r="G40" i="2"/>
  <c r="G24" i="2"/>
  <c r="G39" i="2"/>
  <c r="G23" i="2"/>
  <c r="G38" i="2"/>
  <c r="G22" i="2"/>
  <c r="G37" i="2"/>
  <c r="G21" i="2"/>
  <c r="G36" i="2"/>
  <c r="G20" i="2"/>
  <c r="G5" i="2"/>
  <c r="G6" i="2"/>
  <c r="G7" i="2"/>
  <c r="G8" i="2"/>
  <c r="G9" i="2"/>
  <c r="G10" i="2"/>
  <c r="G11" i="2"/>
  <c r="G12" i="2"/>
  <c r="G13" i="2"/>
  <c r="G14" i="2"/>
  <c r="G15" i="2"/>
  <c r="W15" i="2"/>
  <c r="O15" i="2"/>
  <c r="W14" i="2"/>
  <c r="O14" i="2"/>
  <c r="W13" i="2"/>
  <c r="O13" i="2"/>
  <c r="W12" i="2"/>
  <c r="O12" i="2"/>
  <c r="W11" i="2"/>
  <c r="O11" i="2"/>
  <c r="W10" i="2"/>
  <c r="O10" i="2"/>
  <c r="W9" i="2"/>
  <c r="O9" i="2"/>
  <c r="W8" i="2"/>
  <c r="O8" i="2"/>
  <c r="W7" i="2"/>
  <c r="O7" i="2"/>
  <c r="W6" i="2"/>
  <c r="O6" i="2"/>
  <c r="W5" i="2"/>
  <c r="O5" i="2"/>
  <c r="W4" i="2"/>
  <c r="O4" i="2"/>
  <c r="G4" i="2"/>
  <c r="A16" i="1" l="1"/>
  <c r="A4" i="1"/>
</calcChain>
</file>

<file path=xl/sharedStrings.xml><?xml version="1.0" encoding="utf-8"?>
<sst xmlns="http://schemas.openxmlformats.org/spreadsheetml/2006/main" count="841" uniqueCount="143">
  <si>
    <t>Strain</t>
    <phoneticPr fontId="1" type="noConversion"/>
  </si>
  <si>
    <t>3' SLN</t>
    <phoneticPr fontId="1" type="noConversion"/>
  </si>
  <si>
    <t>6' SLN</t>
    <phoneticPr fontId="1" type="noConversion"/>
  </si>
  <si>
    <t>Sample</t>
    <phoneticPr fontId="1" type="noConversion"/>
  </si>
  <si>
    <t>Reporter</t>
  </si>
  <si>
    <t>Quencher</t>
  </si>
  <si>
    <t>1dpi OS-1</t>
    <phoneticPr fontId="1" type="noConversion"/>
  </si>
  <si>
    <t>FAM</t>
  </si>
  <si>
    <t>TAMRA</t>
  </si>
  <si>
    <t>1dpi OS-2</t>
  </si>
  <si>
    <t>1dpi OS-3</t>
  </si>
  <si>
    <t>3dpi OS-1</t>
    <phoneticPr fontId="1" type="noConversion"/>
  </si>
  <si>
    <t>3dpi OS-2</t>
    <phoneticPr fontId="1" type="noConversion"/>
  </si>
  <si>
    <t>3dpi OS-3</t>
  </si>
  <si>
    <t>5dpi OS-1</t>
    <phoneticPr fontId="1" type="noConversion"/>
  </si>
  <si>
    <t>5dpi OS-2</t>
    <phoneticPr fontId="1" type="noConversion"/>
  </si>
  <si>
    <t>5dpi OS-3</t>
    <phoneticPr fontId="1" type="noConversion"/>
  </si>
  <si>
    <t>7dpi OS-1</t>
    <phoneticPr fontId="1" type="noConversion"/>
  </si>
  <si>
    <t>7dpi OS-2</t>
    <phoneticPr fontId="1" type="noConversion"/>
  </si>
  <si>
    <t>7dpi OS-3</t>
    <phoneticPr fontId="1" type="noConversion"/>
  </si>
  <si>
    <t>Oral swab</t>
    <phoneticPr fontId="1" type="noConversion"/>
  </si>
  <si>
    <t>Palate</t>
    <phoneticPr fontId="1" type="noConversion"/>
  </si>
  <si>
    <t>Copies/g</t>
    <phoneticPr fontId="1" type="noConversion"/>
  </si>
  <si>
    <t>1dpi-Palate-1</t>
    <phoneticPr fontId="1" type="noConversion"/>
  </si>
  <si>
    <t>1dpi-Lung-1</t>
    <phoneticPr fontId="1" type="noConversion"/>
  </si>
  <si>
    <t>1dpi-Palate-2</t>
  </si>
  <si>
    <t>1dpi-Lung-2</t>
    <phoneticPr fontId="1" type="noConversion"/>
  </si>
  <si>
    <t>1dpi-Palate-3</t>
  </si>
  <si>
    <t>1dpi-Lung-3</t>
    <phoneticPr fontId="1" type="noConversion"/>
  </si>
  <si>
    <t>3dpi-Palate-1</t>
  </si>
  <si>
    <t>3dpi-Lung-1</t>
    <phoneticPr fontId="1" type="noConversion"/>
  </si>
  <si>
    <t>3dpi-Palate-2</t>
  </si>
  <si>
    <t>3dpi-Lung-2</t>
    <phoneticPr fontId="1" type="noConversion"/>
  </si>
  <si>
    <t>3dpi-Palate-3</t>
  </si>
  <si>
    <t>3dpi-Lung-3</t>
    <phoneticPr fontId="1" type="noConversion"/>
  </si>
  <si>
    <t>5dpi-Palate-1</t>
  </si>
  <si>
    <t>5dpi-Lung-1</t>
    <phoneticPr fontId="1" type="noConversion"/>
  </si>
  <si>
    <t>5dpi-Palate-2</t>
  </si>
  <si>
    <t>5dpi-Lung-2</t>
    <phoneticPr fontId="1" type="noConversion"/>
  </si>
  <si>
    <t>5dpi-Palate-3</t>
  </si>
  <si>
    <t>5dpi-Lung-3</t>
    <phoneticPr fontId="1" type="noConversion"/>
  </si>
  <si>
    <t>7dpi-Palate-1</t>
  </si>
  <si>
    <t>7dpi-Lung-1</t>
    <phoneticPr fontId="1" type="noConversion"/>
  </si>
  <si>
    <t>7dpi-Palate-2</t>
  </si>
  <si>
    <t>7dpi-Lung-2</t>
    <phoneticPr fontId="1" type="noConversion"/>
  </si>
  <si>
    <t>7dpi-Palate-3</t>
  </si>
  <si>
    <t>7dpi-Lung-3</t>
    <phoneticPr fontId="1" type="noConversion"/>
  </si>
  <si>
    <t>1dpi-Palate-1</t>
  </si>
  <si>
    <t>Lung</t>
    <phoneticPr fontId="1" type="noConversion"/>
  </si>
  <si>
    <t>Days post infection</t>
    <phoneticPr fontId="1" type="noConversion"/>
  </si>
  <si>
    <t>1dpi palate-1</t>
    <phoneticPr fontId="1" type="noConversion"/>
  </si>
  <si>
    <t>1dpi palate-2</t>
    <phoneticPr fontId="1" type="noConversion"/>
  </si>
  <si>
    <t>1dpi palate-3</t>
    <phoneticPr fontId="1" type="noConversion"/>
  </si>
  <si>
    <t>3dpi palate-2</t>
  </si>
  <si>
    <t>3dpi palate-3</t>
  </si>
  <si>
    <t>3dpi palate-1</t>
    <phoneticPr fontId="1" type="noConversion"/>
  </si>
  <si>
    <t>5dpi palate-1</t>
    <phoneticPr fontId="1" type="noConversion"/>
  </si>
  <si>
    <t>7dpi palate-3</t>
    <phoneticPr fontId="1" type="noConversion"/>
  </si>
  <si>
    <t>7dpi palate-1</t>
    <phoneticPr fontId="1" type="noConversion"/>
  </si>
  <si>
    <t>7dpi palate-2</t>
    <phoneticPr fontId="1" type="noConversion"/>
  </si>
  <si>
    <t>7dpi palate-3</t>
    <phoneticPr fontId="1" type="noConversion"/>
  </si>
  <si>
    <t>1dpi lung-1</t>
  </si>
  <si>
    <t>1dpi lung-2</t>
  </si>
  <si>
    <t>1dpi lung-3</t>
  </si>
  <si>
    <t>3dpi lung-1</t>
  </si>
  <si>
    <t>3dpi lung-2</t>
  </si>
  <si>
    <t>3dpi lung-3</t>
  </si>
  <si>
    <t>5dpi lung-1</t>
  </si>
  <si>
    <t>7dpi lung-3</t>
  </si>
  <si>
    <t>7dpi lung-1</t>
  </si>
  <si>
    <t>7dpi lung-2</t>
  </si>
  <si>
    <t>NA indicates that the HA fragment could not be successfully amplified from the sample.</t>
    <phoneticPr fontId="1" type="noConversion"/>
  </si>
  <si>
    <t>NA</t>
    <phoneticPr fontId="1" type="noConversion"/>
  </si>
  <si>
    <t>Days post infection</t>
    <phoneticPr fontId="1" type="noConversion"/>
  </si>
  <si>
    <t>5dpi palate-2</t>
  </si>
  <si>
    <t>5dpi palate-2</t>
    <phoneticPr fontId="1" type="noConversion"/>
  </si>
  <si>
    <t>5dpi palate-3</t>
  </si>
  <si>
    <t>5dpi palate-3</t>
    <phoneticPr fontId="1" type="noConversion"/>
  </si>
  <si>
    <t>5dpi lung-2</t>
  </si>
  <si>
    <t>5dpi lung-2</t>
    <phoneticPr fontId="1" type="noConversion"/>
  </si>
  <si>
    <t>5dpi lung-3</t>
  </si>
  <si>
    <t>5dpi lung-3</t>
    <phoneticPr fontId="1" type="noConversion"/>
  </si>
  <si>
    <t>5dpi palate-1</t>
  </si>
  <si>
    <t>Copies/2μL</t>
    <phoneticPr fontId="1" type="noConversion"/>
  </si>
  <si>
    <t>Ct</t>
    <phoneticPr fontId="1" type="noConversion"/>
  </si>
  <si>
    <t>Depth(T190)</t>
  </si>
  <si>
    <t>Depth(T190)</t>
    <phoneticPr fontId="1" type="noConversion"/>
  </si>
  <si>
    <t>Depth(E190)</t>
  </si>
  <si>
    <t>Depth(E190)</t>
    <phoneticPr fontId="1" type="noConversion"/>
  </si>
  <si>
    <t>Depth(K190)</t>
  </si>
  <si>
    <t>Depth(K190)</t>
    <phoneticPr fontId="1" type="noConversion"/>
  </si>
  <si>
    <t>Depth(A190)</t>
  </si>
  <si>
    <t>Depth(A190)</t>
    <phoneticPr fontId="1" type="noConversion"/>
  </si>
  <si>
    <t>Depth(R190)</t>
  </si>
  <si>
    <t>Depth(R190)</t>
    <phoneticPr fontId="1" type="noConversion"/>
  </si>
  <si>
    <t>Depth(G190)</t>
  </si>
  <si>
    <t>Depth(G190)</t>
    <phoneticPr fontId="1" type="noConversion"/>
  </si>
  <si>
    <t>Depth(V190)</t>
  </si>
  <si>
    <t>Depth(V190)</t>
    <phoneticPr fontId="1" type="noConversion"/>
  </si>
  <si>
    <t>NA</t>
  </si>
  <si>
    <t>NA</t>
    <phoneticPr fontId="1" type="noConversion"/>
  </si>
  <si>
    <t>Depth(Q226)</t>
  </si>
  <si>
    <t>Depth(Q226)</t>
    <phoneticPr fontId="1" type="noConversion"/>
  </si>
  <si>
    <t>Depth(L226)</t>
  </si>
  <si>
    <t>Depth(L226)</t>
    <phoneticPr fontId="1" type="noConversion"/>
  </si>
  <si>
    <t>Percent(T190)%</t>
  </si>
  <si>
    <t>Percent(T190)%</t>
    <phoneticPr fontId="1" type="noConversion"/>
  </si>
  <si>
    <t>Percent(E190)%</t>
  </si>
  <si>
    <t>Percent(E190)%</t>
    <phoneticPr fontId="1" type="noConversion"/>
  </si>
  <si>
    <t>Percent(K190)%</t>
  </si>
  <si>
    <t>Percent(K190)%</t>
    <phoneticPr fontId="1" type="noConversion"/>
  </si>
  <si>
    <t>Percent(A190)%</t>
  </si>
  <si>
    <t>Percent(A190)%</t>
    <phoneticPr fontId="1" type="noConversion"/>
  </si>
  <si>
    <t>Percent(R190)%</t>
  </si>
  <si>
    <t>Percent(R190)%</t>
    <phoneticPr fontId="1" type="noConversion"/>
  </si>
  <si>
    <t>Percent(G190)%</t>
  </si>
  <si>
    <t>Percent(G190)%</t>
    <phoneticPr fontId="1" type="noConversion"/>
  </si>
  <si>
    <t>Percent(V190)%</t>
  </si>
  <si>
    <t>Percent(V190)%</t>
    <phoneticPr fontId="1" type="noConversion"/>
  </si>
  <si>
    <t>Percent(Q226)%</t>
  </si>
  <si>
    <t>Percent(Q226)%</t>
    <phoneticPr fontId="1" type="noConversion"/>
  </si>
  <si>
    <t>Percent(L226)%</t>
  </si>
  <si>
    <t>Percent(L226)%</t>
    <phoneticPr fontId="1" type="noConversion"/>
  </si>
  <si>
    <t>Depth(T190）</t>
    <phoneticPr fontId="1" type="noConversion"/>
  </si>
  <si>
    <t>Percent(M190)%</t>
    <phoneticPr fontId="1" type="noConversion"/>
  </si>
  <si>
    <t>Depth(M190)</t>
    <phoneticPr fontId="1" type="noConversion"/>
  </si>
  <si>
    <t>Depth(Q260)</t>
    <phoneticPr fontId="1" type="noConversion"/>
  </si>
  <si>
    <t>Depth(L260)</t>
    <phoneticPr fontId="1" type="noConversion"/>
  </si>
  <si>
    <t>NA</t>
    <phoneticPr fontId="1" type="noConversion"/>
  </si>
  <si>
    <t>Copies/mL</t>
    <phoneticPr fontId="1" type="noConversion"/>
  </si>
  <si>
    <t>RNA was extracted from 250 μL of oral swab sample or 0.05 g of tissue sample and dissolved in 30 μL of RNase-free water. NA indicates that the M fragment could not be successfully amplified from the sample.</t>
  </si>
  <si>
    <t>NA</t>
    <phoneticPr fontId="1" type="noConversion"/>
  </si>
  <si>
    <r>
      <t>Log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copies/mL</t>
    </r>
    <phoneticPr fontId="1" type="noConversion"/>
  </si>
  <si>
    <r>
      <t>Log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copies/g</t>
    </r>
    <phoneticPr fontId="1" type="noConversion"/>
  </si>
  <si>
    <t>NA</t>
    <phoneticPr fontId="1" type="noConversion"/>
  </si>
  <si>
    <t>α-2,3 and α-2,6 variant(T190/Q226)</t>
    <phoneticPr fontId="1" type="noConversion"/>
  </si>
  <si>
    <t>α-2,3 variant(E190/Q226)</t>
    <phoneticPr fontId="1" type="noConversion"/>
  </si>
  <si>
    <t>α-2,6 WT virus (T190/L226)</t>
    <phoneticPr fontId="1" type="noConversion"/>
  </si>
  <si>
    <t>α-2,3 variant (E190/Q226)</t>
    <phoneticPr fontId="1" type="noConversion"/>
  </si>
  <si>
    <t>α-2,3 and 2,6 variant (T190/Q226)</t>
    <phoneticPr fontId="1" type="noConversion"/>
  </si>
  <si>
    <t>α-2,6 WT virus (T190/L226)</t>
    <phoneticPr fontId="1" type="noConversion"/>
  </si>
  <si>
    <t>α-2,3 and 2,6 variant (T190/Q226)</t>
    <phoneticPr fontId="1" type="noConversion"/>
  </si>
  <si>
    <t>μg/mL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</si>
</sst>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0.0000"/>
    <numFmt numFmtId="178" formatCode="0.0000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Fill="1"/>
    <xf numFmtId="0" fontId="3" fillId="0" borderId="0" xfId="0" applyFont="1"/>
    <xf numFmtId="0" fontId="0" fillId="3" borderId="1" xfId="0" applyFill="1" applyBorder="1" applyAlignment="1">
      <alignment horizontal="left"/>
    </xf>
    <xf numFmtId="0" fontId="0" fillId="3" borderId="0" xfId="0" applyFill="1" applyBorder="1"/>
    <xf numFmtId="177" fontId="0" fillId="0" borderId="1" xfId="0" applyNumberFormat="1" applyBorder="1" applyAlignment="1">
      <alignment horizontal="left"/>
    </xf>
    <xf numFmtId="178" fontId="0" fillId="0" borderId="1" xfId="0" applyNumberFormat="1" applyBorder="1" applyAlignment="1">
      <alignment horizontal="left"/>
    </xf>
    <xf numFmtId="177" fontId="0" fillId="3" borderId="1" xfId="0" applyNumberFormat="1" applyFill="1" applyBorder="1" applyAlignment="1">
      <alignment horizontal="left"/>
    </xf>
    <xf numFmtId="177" fontId="0" fillId="0" borderId="1" xfId="0" applyNumberFormat="1" applyFill="1" applyBorder="1" applyAlignment="1">
      <alignment horizontal="left"/>
    </xf>
    <xf numFmtId="177" fontId="2" fillId="0" borderId="1" xfId="0" applyNumberFormat="1" applyFont="1" applyBorder="1" applyAlignment="1">
      <alignment horizontal="left"/>
    </xf>
    <xf numFmtId="0" fontId="0" fillId="0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1" fontId="0" fillId="3" borderId="1" xfId="0" applyNumberFormat="1" applyFill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4" fillId="0" borderId="0" xfId="0" applyFont="1"/>
    <xf numFmtId="176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77" fontId="4" fillId="0" borderId="1" xfId="0" applyNumberFormat="1" applyFont="1" applyBorder="1" applyAlignment="1">
      <alignment horizontal="left"/>
    </xf>
    <xf numFmtId="176" fontId="4" fillId="0" borderId="1" xfId="0" applyNumberFormat="1" applyFont="1" applyFill="1" applyBorder="1" applyAlignment="1">
      <alignment horizontal="left"/>
    </xf>
    <xf numFmtId="0" fontId="4" fillId="0" borderId="0" xfId="0" applyFont="1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K20" sqref="K20"/>
    </sheetView>
  </sheetViews>
  <sheetFormatPr defaultRowHeight="14.25" x14ac:dyDescent="0.2"/>
  <sheetData>
    <row r="1" spans="1:7" x14ac:dyDescent="0.2">
      <c r="A1" s="1" t="s">
        <v>0</v>
      </c>
      <c r="B1" s="36" t="s">
        <v>135</v>
      </c>
      <c r="C1" s="36"/>
      <c r="D1" s="36"/>
      <c r="E1" s="36"/>
      <c r="F1" s="36"/>
      <c r="G1" s="36"/>
    </row>
    <row r="2" spans="1:7" x14ac:dyDescent="0.2">
      <c r="A2" s="2" t="s">
        <v>142</v>
      </c>
      <c r="B2" s="37" t="s">
        <v>1</v>
      </c>
      <c r="C2" s="37"/>
      <c r="D2" s="37"/>
      <c r="E2" s="37" t="s">
        <v>2</v>
      </c>
      <c r="F2" s="37"/>
      <c r="G2" s="37"/>
    </row>
    <row r="3" spans="1:7" x14ac:dyDescent="0.2">
      <c r="A3" s="4">
        <v>0</v>
      </c>
      <c r="B3" s="2">
        <v>0.14099999999999999</v>
      </c>
      <c r="C3" s="2">
        <v>0.1421</v>
      </c>
      <c r="D3" s="2">
        <v>0.1401</v>
      </c>
      <c r="E3" s="2">
        <v>0.14399999999999999</v>
      </c>
      <c r="F3" s="2">
        <v>0.1424</v>
      </c>
      <c r="G3" s="2">
        <v>0.1434</v>
      </c>
    </row>
    <row r="4" spans="1:7" x14ac:dyDescent="0.2">
      <c r="A4" s="4">
        <f>A5/2</f>
        <v>0.15625</v>
      </c>
      <c r="B4" s="2">
        <v>0.151</v>
      </c>
      <c r="C4" s="2">
        <v>0.15210000000000001</v>
      </c>
      <c r="D4" s="2">
        <v>0.15909999999999999</v>
      </c>
      <c r="E4" s="2">
        <v>0.14299999999999999</v>
      </c>
      <c r="F4" s="2">
        <v>0.14630000000000001</v>
      </c>
      <c r="G4" s="2">
        <v>0.14319999999999999</v>
      </c>
    </row>
    <row r="5" spans="1:7" x14ac:dyDescent="0.2">
      <c r="A5" s="4">
        <v>0.3125</v>
      </c>
      <c r="B5" s="2">
        <v>0.20699999999999999</v>
      </c>
      <c r="C5" s="2">
        <v>0.20169999999999999</v>
      </c>
      <c r="D5" s="2">
        <v>0.20269999999999999</v>
      </c>
      <c r="E5" s="2">
        <v>0.129</v>
      </c>
      <c r="F5" s="2">
        <v>0.12909999999999999</v>
      </c>
      <c r="G5" s="2">
        <v>0.12089999999999999</v>
      </c>
    </row>
    <row r="6" spans="1:7" x14ac:dyDescent="0.2">
      <c r="A6" s="4">
        <v>0.625</v>
      </c>
      <c r="B6" s="2">
        <v>0.41899999999999998</v>
      </c>
      <c r="C6" s="2">
        <v>0.41289999999999999</v>
      </c>
      <c r="D6" s="2">
        <v>0.4199</v>
      </c>
      <c r="E6" s="2">
        <v>0.14099999999999999</v>
      </c>
      <c r="F6" s="2">
        <v>0.1321</v>
      </c>
      <c r="G6" s="2">
        <v>0.14510000000000001</v>
      </c>
    </row>
    <row r="7" spans="1:7" x14ac:dyDescent="0.2">
      <c r="A7" s="4">
        <v>1.25</v>
      </c>
      <c r="B7" s="2">
        <v>1.093</v>
      </c>
      <c r="C7" s="2">
        <v>1.0980000000000001</v>
      </c>
      <c r="D7" s="2">
        <v>1.099</v>
      </c>
      <c r="E7" s="2">
        <v>0.192</v>
      </c>
      <c r="F7" s="2">
        <v>0.19450000000000001</v>
      </c>
      <c r="G7" s="2">
        <v>0.19650000000000001</v>
      </c>
    </row>
    <row r="8" spans="1:7" x14ac:dyDescent="0.2">
      <c r="A8" s="4">
        <v>2.5</v>
      </c>
      <c r="B8" s="2">
        <v>2.6789999999999998</v>
      </c>
      <c r="C8" s="2">
        <v>2.681</v>
      </c>
      <c r="D8" s="2">
        <v>2.6739999999999999</v>
      </c>
      <c r="E8" s="2">
        <v>0.85399999999999998</v>
      </c>
      <c r="F8" s="2">
        <v>0.85140000000000005</v>
      </c>
      <c r="G8" s="2">
        <v>0.85640000000000005</v>
      </c>
    </row>
    <row r="9" spans="1:7" x14ac:dyDescent="0.2">
      <c r="A9" s="4">
        <v>5</v>
      </c>
      <c r="B9" s="2">
        <v>2.5819999999999999</v>
      </c>
      <c r="C9" s="2">
        <v>2.5720000000000001</v>
      </c>
      <c r="D9" s="2">
        <v>2.5811999999999999</v>
      </c>
      <c r="E9" s="2">
        <v>2.8039999999999998</v>
      </c>
      <c r="F9" s="2">
        <v>2.8024</v>
      </c>
      <c r="G9" s="2">
        <v>2.8043999999999998</v>
      </c>
    </row>
    <row r="10" spans="1:7" x14ac:dyDescent="0.2">
      <c r="A10" s="4">
        <v>10</v>
      </c>
      <c r="B10" s="2">
        <v>2.669</v>
      </c>
      <c r="C10" s="2">
        <v>2.6709999999999998</v>
      </c>
      <c r="D10" s="2">
        <v>2.6779999999999999</v>
      </c>
      <c r="E10" s="2">
        <v>2.7589999999999999</v>
      </c>
      <c r="F10" s="2">
        <v>2.7629999999999999</v>
      </c>
      <c r="G10" s="2">
        <v>2.7650000000000001</v>
      </c>
    </row>
    <row r="11" spans="1:7" x14ac:dyDescent="0.2">
      <c r="A11" s="2"/>
      <c r="B11" s="2"/>
      <c r="C11" s="2"/>
      <c r="D11" s="2"/>
      <c r="E11" s="2"/>
      <c r="F11" s="2"/>
      <c r="G11" s="2"/>
    </row>
    <row r="13" spans="1:7" x14ac:dyDescent="0.2">
      <c r="A13" s="1" t="s">
        <v>0</v>
      </c>
      <c r="B13" s="38" t="s">
        <v>136</v>
      </c>
      <c r="C13" s="36"/>
      <c r="D13" s="36"/>
      <c r="E13" s="36"/>
      <c r="F13" s="36"/>
      <c r="G13" s="36"/>
    </row>
    <row r="14" spans="1:7" x14ac:dyDescent="0.2">
      <c r="A14" s="2" t="s">
        <v>142</v>
      </c>
      <c r="B14" s="37" t="s">
        <v>1</v>
      </c>
      <c r="C14" s="37"/>
      <c r="D14" s="37"/>
      <c r="E14" s="37" t="s">
        <v>2</v>
      </c>
      <c r="F14" s="37"/>
      <c r="G14" s="37"/>
    </row>
    <row r="15" spans="1:7" x14ac:dyDescent="0.2">
      <c r="A15" s="4">
        <v>0</v>
      </c>
      <c r="B15" s="3">
        <v>0.1079</v>
      </c>
      <c r="C15" s="3">
        <v>0.1085</v>
      </c>
      <c r="D15" s="3">
        <v>0.1086</v>
      </c>
      <c r="E15" s="3">
        <v>9.3799999999999994E-2</v>
      </c>
      <c r="F15" s="3">
        <v>9.4200000000000006E-2</v>
      </c>
      <c r="G15" s="3">
        <v>9.4299999999999995E-2</v>
      </c>
    </row>
    <row r="16" spans="1:7" x14ac:dyDescent="0.2">
      <c r="A16" s="4">
        <f>A17/2</f>
        <v>0.15625</v>
      </c>
      <c r="B16" s="3">
        <v>7.9399999999999998E-2</v>
      </c>
      <c r="C16" s="3">
        <v>7.9699999999999993E-2</v>
      </c>
      <c r="D16" s="3">
        <v>7.9699999999999993E-2</v>
      </c>
      <c r="E16" s="3">
        <v>8.3500000000000005E-2</v>
      </c>
      <c r="F16" s="3">
        <v>8.3799999999999999E-2</v>
      </c>
      <c r="G16" s="3">
        <v>8.3799999999999999E-2</v>
      </c>
    </row>
    <row r="17" spans="1:7" x14ac:dyDescent="0.2">
      <c r="A17" s="4">
        <v>0.3125</v>
      </c>
      <c r="B17" s="3">
        <v>7.9000000000000001E-2</v>
      </c>
      <c r="C17" s="3">
        <v>0.10290000000000001</v>
      </c>
      <c r="D17" s="3">
        <v>0.10290000000000001</v>
      </c>
      <c r="E17" s="3">
        <v>9.9500000000000005E-2</v>
      </c>
      <c r="F17" s="3">
        <v>9.2200000000000004E-2</v>
      </c>
      <c r="G17" s="3">
        <v>9.2600000000000002E-2</v>
      </c>
    </row>
    <row r="18" spans="1:7" x14ac:dyDescent="0.2">
      <c r="A18" s="4">
        <v>0.625</v>
      </c>
      <c r="B18" s="3">
        <v>7.6899999999999996E-2</v>
      </c>
      <c r="C18" s="3">
        <v>9.5399999999999999E-2</v>
      </c>
      <c r="D18" s="3">
        <v>7.7299999999999994E-2</v>
      </c>
      <c r="E18" s="3">
        <v>7.6999999999999999E-2</v>
      </c>
      <c r="F18" s="3">
        <v>7.6899999999999996E-2</v>
      </c>
      <c r="G18" s="3">
        <v>7.7399999999999997E-2</v>
      </c>
    </row>
    <row r="19" spans="1:7" x14ac:dyDescent="0.2">
      <c r="A19" s="4">
        <v>1.25</v>
      </c>
      <c r="B19" s="3">
        <v>8.6400000000000005E-2</v>
      </c>
      <c r="C19" s="3">
        <v>8.6699999999999999E-2</v>
      </c>
      <c r="D19" s="3">
        <v>8.6599999999999996E-2</v>
      </c>
      <c r="E19" s="3">
        <v>0.08</v>
      </c>
      <c r="F19" s="3">
        <v>8.0299999999999996E-2</v>
      </c>
      <c r="G19" s="3">
        <v>8.0299999999999996E-2</v>
      </c>
    </row>
    <row r="20" spans="1:7" x14ac:dyDescent="0.2">
      <c r="A20" s="4">
        <v>2.5</v>
      </c>
      <c r="B20" s="3">
        <v>0.24859999999999999</v>
      </c>
      <c r="C20" s="3">
        <v>0.24929999999999999</v>
      </c>
      <c r="D20" s="3">
        <v>0.24909999999999999</v>
      </c>
      <c r="E20" s="3">
        <v>7.9100000000000004E-2</v>
      </c>
      <c r="F20" s="3">
        <v>7.9299999999999995E-2</v>
      </c>
      <c r="G20" s="3">
        <v>7.9399999999999998E-2</v>
      </c>
    </row>
    <row r="21" spans="1:7" x14ac:dyDescent="0.2">
      <c r="A21" s="4">
        <v>5</v>
      </c>
      <c r="B21" s="3">
        <v>0.81610000000000005</v>
      </c>
      <c r="C21" s="3">
        <v>0.8165</v>
      </c>
      <c r="D21" s="3">
        <v>0.81630000000000003</v>
      </c>
      <c r="E21" s="3">
        <v>8.4699999999999998E-2</v>
      </c>
      <c r="F21" s="3">
        <v>8.4900000000000003E-2</v>
      </c>
      <c r="G21" s="3">
        <v>8.4900000000000003E-2</v>
      </c>
    </row>
    <row r="22" spans="1:7" x14ac:dyDescent="0.2">
      <c r="A22" s="4">
        <v>10</v>
      </c>
      <c r="B22" s="3">
        <v>1.0974999999999999</v>
      </c>
      <c r="C22" s="3">
        <v>1.0989</v>
      </c>
      <c r="D22" s="3">
        <v>1.0972999999999999</v>
      </c>
      <c r="E22" s="3">
        <v>9.2200000000000004E-2</v>
      </c>
      <c r="F22" s="3">
        <v>9.2600000000000002E-2</v>
      </c>
      <c r="G22" s="3">
        <v>9.2499999999999999E-2</v>
      </c>
    </row>
    <row r="23" spans="1:7" x14ac:dyDescent="0.2">
      <c r="A23" s="2"/>
      <c r="B23" s="2"/>
      <c r="C23" s="2"/>
      <c r="D23" s="2"/>
      <c r="E23" s="2"/>
      <c r="F23" s="2"/>
      <c r="G23" s="2"/>
    </row>
  </sheetData>
  <mergeCells count="6">
    <mergeCell ref="B1:G1"/>
    <mergeCell ref="B2:D2"/>
    <mergeCell ref="E2:G2"/>
    <mergeCell ref="B13:G13"/>
    <mergeCell ref="B14:D14"/>
    <mergeCell ref="E14:G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3"/>
  <sheetViews>
    <sheetView topLeftCell="B1" zoomScaleNormal="100" workbookViewId="0">
      <selection activeCell="N30" sqref="N30"/>
    </sheetView>
  </sheetViews>
  <sheetFormatPr defaultRowHeight="15" x14ac:dyDescent="0.25"/>
  <cols>
    <col min="1" max="1" width="13.625" style="26" customWidth="1"/>
    <col min="2" max="4" width="9" style="26"/>
    <col min="5" max="5" width="9.75" style="32" customWidth="1"/>
    <col min="6" max="6" width="13.875" style="26" customWidth="1"/>
    <col min="7" max="7" width="13.25" style="26" customWidth="1"/>
    <col min="8" max="8" width="4.625" style="26" customWidth="1"/>
    <col min="9" max="9" width="13" style="26" customWidth="1"/>
    <col min="10" max="12" width="9" style="26"/>
    <col min="13" max="13" width="11.125" style="26" customWidth="1"/>
    <col min="14" max="14" width="12.875" style="26" customWidth="1"/>
    <col min="15" max="15" width="13.25" style="26" customWidth="1"/>
    <col min="16" max="16" width="5.5" style="26" customWidth="1"/>
    <col min="17" max="17" width="12.875" style="26" customWidth="1"/>
    <col min="18" max="18" width="9" style="26"/>
    <col min="19" max="19" width="9.375" style="26" bestFit="1" customWidth="1"/>
    <col min="20" max="20" width="9.375" style="26" customWidth="1"/>
    <col min="21" max="21" width="10.875" style="26" customWidth="1"/>
    <col min="22" max="22" width="12.125" style="26" bestFit="1" customWidth="1"/>
    <col min="23" max="23" width="13.75" style="26" customWidth="1"/>
    <col min="24" max="16384" width="9" style="26"/>
  </cols>
  <sheetData>
    <row r="1" spans="1:23" x14ac:dyDescent="0.25">
      <c r="A1" s="39" t="s">
        <v>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1"/>
    </row>
    <row r="2" spans="1:23" s="35" customFormat="1" x14ac:dyDescent="0.25">
      <c r="A2" s="42" t="s">
        <v>137</v>
      </c>
      <c r="B2" s="42"/>
      <c r="C2" s="42"/>
      <c r="D2" s="42"/>
      <c r="E2" s="42"/>
      <c r="F2" s="42"/>
      <c r="G2" s="42"/>
      <c r="H2" s="34"/>
      <c r="I2" s="42" t="s">
        <v>139</v>
      </c>
      <c r="J2" s="42"/>
      <c r="K2" s="42"/>
      <c r="L2" s="42"/>
      <c r="M2" s="42"/>
      <c r="N2" s="42"/>
      <c r="O2" s="42"/>
      <c r="P2" s="34"/>
      <c r="Q2" s="42" t="s">
        <v>138</v>
      </c>
      <c r="R2" s="42"/>
      <c r="S2" s="42"/>
      <c r="T2" s="42"/>
      <c r="U2" s="42"/>
      <c r="V2" s="42"/>
      <c r="W2" s="42"/>
    </row>
    <row r="3" spans="1:23" ht="16.5" x14ac:dyDescent="0.3">
      <c r="A3" s="27" t="s">
        <v>3</v>
      </c>
      <c r="B3" s="27" t="s">
        <v>4</v>
      </c>
      <c r="C3" s="27" t="s">
        <v>5</v>
      </c>
      <c r="D3" s="27" t="s">
        <v>84</v>
      </c>
      <c r="E3" s="28" t="s">
        <v>83</v>
      </c>
      <c r="F3" s="27" t="s">
        <v>129</v>
      </c>
      <c r="G3" s="27" t="s">
        <v>132</v>
      </c>
      <c r="H3" s="27"/>
      <c r="I3" s="27" t="s">
        <v>3</v>
      </c>
      <c r="J3" s="27" t="s">
        <v>4</v>
      </c>
      <c r="K3" s="27" t="s">
        <v>5</v>
      </c>
      <c r="L3" s="27" t="s">
        <v>84</v>
      </c>
      <c r="M3" s="28" t="s">
        <v>83</v>
      </c>
      <c r="N3" s="27" t="s">
        <v>129</v>
      </c>
      <c r="O3" s="27" t="s">
        <v>132</v>
      </c>
      <c r="P3" s="27"/>
      <c r="Q3" s="27" t="s">
        <v>3</v>
      </c>
      <c r="R3" s="27" t="s">
        <v>4</v>
      </c>
      <c r="S3" s="27" t="s">
        <v>5</v>
      </c>
      <c r="T3" s="27" t="s">
        <v>84</v>
      </c>
      <c r="U3" s="28" t="s">
        <v>83</v>
      </c>
      <c r="V3" s="27" t="s">
        <v>129</v>
      </c>
      <c r="W3" s="27" t="s">
        <v>132</v>
      </c>
    </row>
    <row r="4" spans="1:23" x14ac:dyDescent="0.25">
      <c r="A4" s="27" t="s">
        <v>6</v>
      </c>
      <c r="B4" s="27" t="s">
        <v>7</v>
      </c>
      <c r="C4" s="27" t="s">
        <v>8</v>
      </c>
      <c r="D4" s="27">
        <v>26.8</v>
      </c>
      <c r="E4" s="28">
        <v>11151</v>
      </c>
      <c r="F4" s="28">
        <v>669060</v>
      </c>
      <c r="G4" s="33">
        <f>LOG10(F4)</f>
        <v>5.8254650661990324</v>
      </c>
      <c r="H4" s="27"/>
      <c r="I4" s="27" t="s">
        <v>6</v>
      </c>
      <c r="J4" s="27" t="s">
        <v>7</v>
      </c>
      <c r="K4" s="27" t="s">
        <v>8</v>
      </c>
      <c r="L4" s="27">
        <v>37.6</v>
      </c>
      <c r="M4" s="28">
        <v>5</v>
      </c>
      <c r="N4" s="28">
        <v>300</v>
      </c>
      <c r="O4" s="33">
        <f>LOG10(N4)</f>
        <v>2.4771212547196626</v>
      </c>
      <c r="P4" s="27"/>
      <c r="Q4" s="27" t="s">
        <v>6</v>
      </c>
      <c r="R4" s="27" t="s">
        <v>7</v>
      </c>
      <c r="S4" s="27" t="s">
        <v>8</v>
      </c>
      <c r="T4" s="27">
        <v>34</v>
      </c>
      <c r="U4" s="28">
        <v>65</v>
      </c>
      <c r="V4" s="28">
        <v>3900</v>
      </c>
      <c r="W4" s="33">
        <f>LOG10(V4)</f>
        <v>3.5910646070264991</v>
      </c>
    </row>
    <row r="5" spans="1:23" x14ac:dyDescent="0.25">
      <c r="A5" s="27" t="s">
        <v>9</v>
      </c>
      <c r="B5" s="27" t="s">
        <v>7</v>
      </c>
      <c r="C5" s="27" t="s">
        <v>8</v>
      </c>
      <c r="D5" s="27">
        <v>22.5</v>
      </c>
      <c r="E5" s="28">
        <v>246191</v>
      </c>
      <c r="F5" s="28">
        <v>14771460</v>
      </c>
      <c r="G5" s="33">
        <f t="shared" ref="G5:G15" si="0">LOG10(F5)</f>
        <v>7.1694234227734963</v>
      </c>
      <c r="H5" s="27"/>
      <c r="I5" s="27" t="s">
        <v>9</v>
      </c>
      <c r="J5" s="27" t="s">
        <v>7</v>
      </c>
      <c r="K5" s="27" t="s">
        <v>8</v>
      </c>
      <c r="L5" s="27">
        <v>39.799999999999997</v>
      </c>
      <c r="M5" s="28" t="s">
        <v>131</v>
      </c>
      <c r="N5" s="28">
        <v>60</v>
      </c>
      <c r="O5" s="33">
        <f t="shared" ref="O5:O6" si="1">LOG10(N5)</f>
        <v>1.7781512503836436</v>
      </c>
      <c r="P5" s="27"/>
      <c r="Q5" s="27" t="s">
        <v>9</v>
      </c>
      <c r="R5" s="27" t="s">
        <v>7</v>
      </c>
      <c r="S5" s="27" t="s">
        <v>8</v>
      </c>
      <c r="T5" s="27">
        <v>24.7</v>
      </c>
      <c r="U5" s="28">
        <v>50435</v>
      </c>
      <c r="V5" s="28">
        <v>3026100</v>
      </c>
      <c r="W5" s="33">
        <f t="shared" ref="W5:W15" si="2">LOG10(V5)</f>
        <v>6.4808832755479084</v>
      </c>
    </row>
    <row r="6" spans="1:23" x14ac:dyDescent="0.25">
      <c r="A6" s="27" t="s">
        <v>10</v>
      </c>
      <c r="B6" s="27" t="s">
        <v>7</v>
      </c>
      <c r="C6" s="27" t="s">
        <v>8</v>
      </c>
      <c r="D6" s="27">
        <v>24.4</v>
      </c>
      <c r="E6" s="28">
        <v>62457</v>
      </c>
      <c r="F6" s="28">
        <v>3747420</v>
      </c>
      <c r="G6" s="33">
        <f t="shared" si="0"/>
        <v>6.5737323702916575</v>
      </c>
      <c r="H6" s="27"/>
      <c r="I6" s="27" t="s">
        <v>10</v>
      </c>
      <c r="J6" s="27" t="s">
        <v>7</v>
      </c>
      <c r="K6" s="27" t="s">
        <v>8</v>
      </c>
      <c r="L6" s="27">
        <v>25.9</v>
      </c>
      <c r="M6" s="28">
        <v>21454</v>
      </c>
      <c r="N6" s="28">
        <v>1287240</v>
      </c>
      <c r="O6" s="33">
        <f t="shared" si="1"/>
        <v>6.1096595266700326</v>
      </c>
      <c r="P6" s="27"/>
      <c r="Q6" s="27" t="s">
        <v>10</v>
      </c>
      <c r="R6" s="27" t="s">
        <v>7</v>
      </c>
      <c r="S6" s="27" t="s">
        <v>8</v>
      </c>
      <c r="T6" s="27">
        <v>31.9</v>
      </c>
      <c r="U6" s="28">
        <v>299</v>
      </c>
      <c r="V6" s="28">
        <v>17940</v>
      </c>
      <c r="W6" s="33">
        <f t="shared" si="2"/>
        <v>4.253822438708073</v>
      </c>
    </row>
    <row r="7" spans="1:23" x14ac:dyDescent="0.25">
      <c r="A7" s="27" t="s">
        <v>11</v>
      </c>
      <c r="B7" s="27" t="s">
        <v>7</v>
      </c>
      <c r="C7" s="27" t="s">
        <v>8</v>
      </c>
      <c r="D7" s="27">
        <v>26.3</v>
      </c>
      <c r="E7" s="28">
        <v>15849</v>
      </c>
      <c r="F7" s="28">
        <v>950940</v>
      </c>
      <c r="G7" s="33">
        <f t="shared" si="0"/>
        <v>5.9781531157902457</v>
      </c>
      <c r="H7" s="29"/>
      <c r="I7" s="27" t="s">
        <v>11</v>
      </c>
      <c r="J7" s="27" t="s">
        <v>7</v>
      </c>
      <c r="K7" s="27" t="s">
        <v>8</v>
      </c>
      <c r="L7" s="27">
        <v>37.6</v>
      </c>
      <c r="M7" s="28">
        <v>5</v>
      </c>
      <c r="N7" s="28">
        <v>300</v>
      </c>
      <c r="O7" s="33">
        <f t="shared" ref="O7:O15" si="3">LOG10(N7)</f>
        <v>2.4771212547196626</v>
      </c>
      <c r="P7" s="29"/>
      <c r="Q7" s="27" t="s">
        <v>11</v>
      </c>
      <c r="R7" s="27" t="s">
        <v>7</v>
      </c>
      <c r="S7" s="27" t="s">
        <v>8</v>
      </c>
      <c r="T7" s="27">
        <v>39.799999999999997</v>
      </c>
      <c r="U7" s="28" t="s">
        <v>131</v>
      </c>
      <c r="V7" s="28">
        <v>60</v>
      </c>
      <c r="W7" s="33">
        <f t="shared" si="2"/>
        <v>1.7781512503836436</v>
      </c>
    </row>
    <row r="8" spans="1:23" x14ac:dyDescent="0.25">
      <c r="A8" s="27" t="s">
        <v>12</v>
      </c>
      <c r="B8" s="27" t="s">
        <v>7</v>
      </c>
      <c r="C8" s="27" t="s">
        <v>8</v>
      </c>
      <c r="D8" s="27">
        <v>24.5</v>
      </c>
      <c r="E8" s="28">
        <v>58020</v>
      </c>
      <c r="F8" s="28">
        <v>3481200</v>
      </c>
      <c r="G8" s="33">
        <f t="shared" si="0"/>
        <v>6.5417289748502894</v>
      </c>
      <c r="H8" s="29"/>
      <c r="I8" s="27" t="s">
        <v>12</v>
      </c>
      <c r="J8" s="27" t="s">
        <v>7</v>
      </c>
      <c r="K8" s="27" t="s">
        <v>8</v>
      </c>
      <c r="L8" s="27">
        <v>39.799999999999997</v>
      </c>
      <c r="M8" s="28" t="s">
        <v>131</v>
      </c>
      <c r="N8" s="28">
        <v>60</v>
      </c>
      <c r="O8" s="33">
        <f t="shared" si="3"/>
        <v>1.7781512503836436</v>
      </c>
      <c r="P8" s="29"/>
      <c r="Q8" s="27" t="s">
        <v>12</v>
      </c>
      <c r="R8" s="27" t="s">
        <v>7</v>
      </c>
      <c r="S8" s="27" t="s">
        <v>8</v>
      </c>
      <c r="T8" s="27">
        <v>27.8</v>
      </c>
      <c r="U8" s="28">
        <v>5433</v>
      </c>
      <c r="V8" s="28">
        <v>325980</v>
      </c>
      <c r="W8" s="33">
        <f t="shared" si="2"/>
        <v>5.5131909554173646</v>
      </c>
    </row>
    <row r="9" spans="1:23" x14ac:dyDescent="0.25">
      <c r="A9" s="27" t="s">
        <v>13</v>
      </c>
      <c r="B9" s="27" t="s">
        <v>7</v>
      </c>
      <c r="C9" s="27" t="s">
        <v>8</v>
      </c>
      <c r="D9" s="27">
        <v>24.2</v>
      </c>
      <c r="E9" s="28">
        <v>74772</v>
      </c>
      <c r="F9" s="28">
        <v>4486320</v>
      </c>
      <c r="G9" s="33">
        <f t="shared" si="0"/>
        <v>6.6518902476860298</v>
      </c>
      <c r="H9" s="29"/>
      <c r="I9" s="27" t="s">
        <v>13</v>
      </c>
      <c r="J9" s="27" t="s">
        <v>7</v>
      </c>
      <c r="K9" s="27" t="s">
        <v>8</v>
      </c>
      <c r="L9" s="27">
        <v>28.4</v>
      </c>
      <c r="M9" s="28">
        <v>3509</v>
      </c>
      <c r="N9" s="28">
        <v>210540</v>
      </c>
      <c r="O9" s="33">
        <f t="shared" si="3"/>
        <v>5.3233346185990502</v>
      </c>
      <c r="P9" s="29"/>
      <c r="Q9" s="27" t="s">
        <v>13</v>
      </c>
      <c r="R9" s="27" t="s">
        <v>7</v>
      </c>
      <c r="S9" s="27" t="s">
        <v>8</v>
      </c>
      <c r="T9" s="27">
        <v>33.700000000000003</v>
      </c>
      <c r="U9" s="28">
        <v>82</v>
      </c>
      <c r="V9" s="28">
        <v>4920</v>
      </c>
      <c r="W9" s="33">
        <f t="shared" si="2"/>
        <v>3.6919651027673601</v>
      </c>
    </row>
    <row r="10" spans="1:23" x14ac:dyDescent="0.25">
      <c r="A10" s="29" t="s">
        <v>14</v>
      </c>
      <c r="B10" s="27" t="s">
        <v>7</v>
      </c>
      <c r="C10" s="27" t="s">
        <v>8</v>
      </c>
      <c r="D10" s="27">
        <v>26.6</v>
      </c>
      <c r="E10" s="28">
        <f t="shared" ref="E10:E15" si="4">F10/60</f>
        <v>12882</v>
      </c>
      <c r="F10" s="28">
        <v>772920</v>
      </c>
      <c r="G10" s="33">
        <f t="shared" si="0"/>
        <v>5.8881345452035356</v>
      </c>
      <c r="H10" s="29"/>
      <c r="I10" s="29" t="s">
        <v>14</v>
      </c>
      <c r="J10" s="27" t="s">
        <v>7</v>
      </c>
      <c r="K10" s="27" t="s">
        <v>8</v>
      </c>
      <c r="L10" s="27">
        <v>39.799999999999997</v>
      </c>
      <c r="M10" s="28" t="s">
        <v>131</v>
      </c>
      <c r="N10" s="28">
        <v>60</v>
      </c>
      <c r="O10" s="33">
        <f t="shared" si="3"/>
        <v>1.7781512503836436</v>
      </c>
      <c r="P10" s="29"/>
      <c r="Q10" s="29" t="s">
        <v>14</v>
      </c>
      <c r="R10" s="27" t="s">
        <v>7</v>
      </c>
      <c r="S10" s="27" t="s">
        <v>8</v>
      </c>
      <c r="T10" s="27">
        <v>39.799999999999997</v>
      </c>
      <c r="U10" s="28" t="s">
        <v>131</v>
      </c>
      <c r="V10" s="28">
        <v>60</v>
      </c>
      <c r="W10" s="33">
        <f t="shared" si="2"/>
        <v>1.7781512503836436</v>
      </c>
    </row>
    <row r="11" spans="1:23" x14ac:dyDescent="0.25">
      <c r="A11" s="29" t="s">
        <v>15</v>
      </c>
      <c r="B11" s="27" t="s">
        <v>7</v>
      </c>
      <c r="C11" s="27" t="s">
        <v>8</v>
      </c>
      <c r="D11" s="27">
        <v>25.2</v>
      </c>
      <c r="E11" s="28">
        <f t="shared" si="4"/>
        <v>35182</v>
      </c>
      <c r="F11" s="28">
        <v>2110920</v>
      </c>
      <c r="G11" s="33">
        <f t="shared" si="0"/>
        <v>6.3244717746544579</v>
      </c>
      <c r="H11" s="29"/>
      <c r="I11" s="29" t="s">
        <v>15</v>
      </c>
      <c r="J11" s="27" t="s">
        <v>7</v>
      </c>
      <c r="K11" s="27" t="s">
        <v>8</v>
      </c>
      <c r="L11" s="27">
        <v>39.799999999999997</v>
      </c>
      <c r="M11" s="28" t="s">
        <v>131</v>
      </c>
      <c r="N11" s="28">
        <v>60</v>
      </c>
      <c r="O11" s="33">
        <f t="shared" si="3"/>
        <v>1.7781512503836436</v>
      </c>
      <c r="P11" s="29"/>
      <c r="Q11" s="29" t="s">
        <v>15</v>
      </c>
      <c r="R11" s="27" t="s">
        <v>7</v>
      </c>
      <c r="S11" s="27" t="s">
        <v>8</v>
      </c>
      <c r="T11" s="27">
        <v>30.2</v>
      </c>
      <c r="U11" s="28">
        <v>994</v>
      </c>
      <c r="V11" s="28">
        <v>59640</v>
      </c>
      <c r="W11" s="33">
        <f t="shared" si="2"/>
        <v>4.7755376347809566</v>
      </c>
    </row>
    <row r="12" spans="1:23" x14ac:dyDescent="0.25">
      <c r="A12" s="29" t="s">
        <v>16</v>
      </c>
      <c r="B12" s="27" t="s">
        <v>7</v>
      </c>
      <c r="C12" s="27" t="s">
        <v>8</v>
      </c>
      <c r="D12" s="27">
        <v>24.2</v>
      </c>
      <c r="E12" s="28">
        <f t="shared" si="4"/>
        <v>76011</v>
      </c>
      <c r="F12" s="28">
        <v>4560660</v>
      </c>
      <c r="G12" s="33">
        <f t="shared" si="0"/>
        <v>6.6590276965277644</v>
      </c>
      <c r="H12" s="29"/>
      <c r="I12" s="29" t="s">
        <v>16</v>
      </c>
      <c r="J12" s="27" t="s">
        <v>7</v>
      </c>
      <c r="K12" s="27" t="s">
        <v>8</v>
      </c>
      <c r="L12" s="27">
        <v>28.4</v>
      </c>
      <c r="M12" s="28">
        <v>3509</v>
      </c>
      <c r="N12" s="28">
        <v>210540</v>
      </c>
      <c r="O12" s="33">
        <f t="shared" si="3"/>
        <v>5.3233346185990502</v>
      </c>
      <c r="P12" s="29"/>
      <c r="Q12" s="29" t="s">
        <v>16</v>
      </c>
      <c r="R12" s="27" t="s">
        <v>7</v>
      </c>
      <c r="S12" s="27" t="s">
        <v>8</v>
      </c>
      <c r="T12" s="27">
        <v>25.7</v>
      </c>
      <c r="U12" s="28">
        <v>24508</v>
      </c>
      <c r="V12" s="28">
        <v>1470480</v>
      </c>
      <c r="W12" s="33">
        <f t="shared" si="2"/>
        <v>6.1674591220435602</v>
      </c>
    </row>
    <row r="13" spans="1:23" x14ac:dyDescent="0.25">
      <c r="A13" s="29" t="s">
        <v>17</v>
      </c>
      <c r="B13" s="27" t="s">
        <v>7</v>
      </c>
      <c r="C13" s="27" t="s">
        <v>8</v>
      </c>
      <c r="D13" s="27">
        <v>30.7</v>
      </c>
      <c r="E13" s="28">
        <f t="shared" si="4"/>
        <v>674</v>
      </c>
      <c r="F13" s="28">
        <v>40440</v>
      </c>
      <c r="G13" s="33">
        <f t="shared" si="0"/>
        <v>4.6068111469189637</v>
      </c>
      <c r="H13" s="29"/>
      <c r="I13" s="29" t="s">
        <v>17</v>
      </c>
      <c r="J13" s="27" t="s">
        <v>7</v>
      </c>
      <c r="K13" s="27" t="s">
        <v>8</v>
      </c>
      <c r="L13" s="27">
        <v>37.1</v>
      </c>
      <c r="M13" s="28">
        <v>7</v>
      </c>
      <c r="N13" s="28">
        <v>420</v>
      </c>
      <c r="O13" s="33">
        <f t="shared" si="3"/>
        <v>2.6232492903979003</v>
      </c>
      <c r="P13" s="29"/>
      <c r="Q13" s="29" t="s">
        <v>17</v>
      </c>
      <c r="R13" s="27" t="s">
        <v>7</v>
      </c>
      <c r="S13" s="27" t="s">
        <v>8</v>
      </c>
      <c r="T13" s="27">
        <v>39.799999999999997</v>
      </c>
      <c r="U13" s="28" t="s">
        <v>131</v>
      </c>
      <c r="V13" s="28">
        <v>60</v>
      </c>
      <c r="W13" s="33">
        <f t="shared" si="2"/>
        <v>1.7781512503836436</v>
      </c>
    </row>
    <row r="14" spans="1:23" x14ac:dyDescent="0.25">
      <c r="A14" s="29" t="s">
        <v>18</v>
      </c>
      <c r="B14" s="27" t="s">
        <v>7</v>
      </c>
      <c r="C14" s="27" t="s">
        <v>8</v>
      </c>
      <c r="D14" s="27">
        <v>30.3</v>
      </c>
      <c r="E14" s="28">
        <f t="shared" si="4"/>
        <v>901</v>
      </c>
      <c r="F14" s="28">
        <v>54060</v>
      </c>
      <c r="G14" s="33">
        <f t="shared" si="0"/>
        <v>4.7328760413627062</v>
      </c>
      <c r="H14" s="29"/>
      <c r="I14" s="29" t="s">
        <v>18</v>
      </c>
      <c r="J14" s="27" t="s">
        <v>7</v>
      </c>
      <c r="K14" s="27" t="s">
        <v>8</v>
      </c>
      <c r="L14" s="27">
        <v>37.1</v>
      </c>
      <c r="M14" s="28">
        <v>7</v>
      </c>
      <c r="N14" s="28">
        <v>420</v>
      </c>
      <c r="O14" s="33">
        <f t="shared" si="3"/>
        <v>2.6232492903979003</v>
      </c>
      <c r="P14" s="29"/>
      <c r="Q14" s="29" t="s">
        <v>18</v>
      </c>
      <c r="R14" s="27" t="s">
        <v>7</v>
      </c>
      <c r="S14" s="27" t="s">
        <v>8</v>
      </c>
      <c r="T14" s="27">
        <v>34.799999999999997</v>
      </c>
      <c r="U14" s="28">
        <v>36</v>
      </c>
      <c r="V14" s="28">
        <v>2160</v>
      </c>
      <c r="W14" s="33">
        <f t="shared" si="2"/>
        <v>3.3344537511509307</v>
      </c>
    </row>
    <row r="15" spans="1:23" x14ac:dyDescent="0.25">
      <c r="A15" s="29" t="s">
        <v>19</v>
      </c>
      <c r="B15" s="27" t="s">
        <v>7</v>
      </c>
      <c r="C15" s="27" t="s">
        <v>8</v>
      </c>
      <c r="D15" s="27">
        <v>25.3</v>
      </c>
      <c r="E15" s="28">
        <f t="shared" si="4"/>
        <v>32890</v>
      </c>
      <c r="F15" s="28">
        <v>1973400</v>
      </c>
      <c r="G15" s="33">
        <f t="shared" si="0"/>
        <v>6.2952151238662983</v>
      </c>
      <c r="H15" s="29"/>
      <c r="I15" s="29" t="s">
        <v>19</v>
      </c>
      <c r="J15" s="27" t="s">
        <v>7</v>
      </c>
      <c r="K15" s="27" t="s">
        <v>8</v>
      </c>
      <c r="L15" s="27">
        <v>33.200000000000003</v>
      </c>
      <c r="M15" s="28">
        <v>117</v>
      </c>
      <c r="N15" s="28">
        <v>7020</v>
      </c>
      <c r="O15" s="33">
        <f t="shared" si="3"/>
        <v>3.8463371121298051</v>
      </c>
      <c r="P15" s="29"/>
      <c r="Q15" s="29" t="s">
        <v>19</v>
      </c>
      <c r="R15" s="27" t="s">
        <v>7</v>
      </c>
      <c r="S15" s="27" t="s">
        <v>8</v>
      </c>
      <c r="T15" s="27">
        <v>33.6</v>
      </c>
      <c r="U15" s="28">
        <v>86</v>
      </c>
      <c r="V15" s="28">
        <v>5160</v>
      </c>
      <c r="W15" s="33">
        <f t="shared" si="2"/>
        <v>3.7126497016272113</v>
      </c>
    </row>
    <row r="17" spans="1:23" x14ac:dyDescent="0.25">
      <c r="A17" s="39" t="s">
        <v>21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1"/>
    </row>
    <row r="18" spans="1:23" s="35" customFormat="1" x14ac:dyDescent="0.25">
      <c r="A18" s="42" t="s">
        <v>137</v>
      </c>
      <c r="B18" s="42"/>
      <c r="C18" s="42"/>
      <c r="D18" s="42"/>
      <c r="E18" s="42"/>
      <c r="F18" s="42"/>
      <c r="G18" s="42"/>
      <c r="H18" s="34"/>
      <c r="I18" s="42" t="s">
        <v>139</v>
      </c>
      <c r="J18" s="42"/>
      <c r="K18" s="42"/>
      <c r="L18" s="42"/>
      <c r="M18" s="42"/>
      <c r="N18" s="42"/>
      <c r="O18" s="42"/>
      <c r="P18" s="34"/>
      <c r="Q18" s="42" t="s">
        <v>138</v>
      </c>
      <c r="R18" s="42"/>
      <c r="S18" s="42"/>
      <c r="T18" s="42"/>
      <c r="U18" s="42"/>
      <c r="V18" s="42"/>
      <c r="W18" s="42"/>
    </row>
    <row r="19" spans="1:23" ht="16.5" x14ac:dyDescent="0.3">
      <c r="A19" s="27" t="s">
        <v>3</v>
      </c>
      <c r="B19" s="27" t="s">
        <v>4</v>
      </c>
      <c r="C19" s="27" t="s">
        <v>5</v>
      </c>
      <c r="D19" s="27" t="s">
        <v>84</v>
      </c>
      <c r="E19" s="28" t="s">
        <v>83</v>
      </c>
      <c r="F19" s="27" t="s">
        <v>22</v>
      </c>
      <c r="G19" s="27" t="s">
        <v>133</v>
      </c>
      <c r="H19" s="30"/>
      <c r="I19" s="27" t="s">
        <v>3</v>
      </c>
      <c r="J19" s="27" t="s">
        <v>4</v>
      </c>
      <c r="K19" s="27" t="s">
        <v>5</v>
      </c>
      <c r="L19" s="27" t="s">
        <v>84</v>
      </c>
      <c r="M19" s="28" t="s">
        <v>83</v>
      </c>
      <c r="N19" s="27" t="s">
        <v>22</v>
      </c>
      <c r="O19" s="27" t="s">
        <v>133</v>
      </c>
      <c r="Q19" s="27" t="s">
        <v>3</v>
      </c>
      <c r="R19" s="27" t="s">
        <v>4</v>
      </c>
      <c r="S19" s="27" t="s">
        <v>5</v>
      </c>
      <c r="T19" s="27" t="s">
        <v>84</v>
      </c>
      <c r="U19" s="28" t="s">
        <v>83</v>
      </c>
      <c r="V19" s="27" t="s">
        <v>22</v>
      </c>
      <c r="W19" s="27" t="s">
        <v>133</v>
      </c>
    </row>
    <row r="20" spans="1:23" x14ac:dyDescent="0.25">
      <c r="A20" s="29" t="s">
        <v>23</v>
      </c>
      <c r="B20" s="27" t="s">
        <v>7</v>
      </c>
      <c r="C20" s="27" t="s">
        <v>8</v>
      </c>
      <c r="D20" s="27">
        <v>20</v>
      </c>
      <c r="E20" s="28">
        <v>1553193</v>
      </c>
      <c r="F20" s="29">
        <v>465957900</v>
      </c>
      <c r="G20" s="33">
        <f>LOG10(F20)</f>
        <v>8.668346679300198</v>
      </c>
      <c r="H20" s="30"/>
      <c r="I20" s="29" t="s">
        <v>47</v>
      </c>
      <c r="J20" s="27" t="s">
        <v>7</v>
      </c>
      <c r="K20" s="27" t="s">
        <v>8</v>
      </c>
      <c r="L20" s="27">
        <v>36.4</v>
      </c>
      <c r="M20" s="28">
        <v>12</v>
      </c>
      <c r="N20" s="29">
        <v>3600</v>
      </c>
      <c r="O20" s="33">
        <f>LOG10(N20)</f>
        <v>3.5563025007672873</v>
      </c>
      <c r="Q20" s="29" t="s">
        <v>47</v>
      </c>
      <c r="R20" s="27" t="s">
        <v>7</v>
      </c>
      <c r="S20" s="27" t="s">
        <v>8</v>
      </c>
      <c r="T20" s="27">
        <v>19.2</v>
      </c>
      <c r="U20" s="28">
        <v>2677105</v>
      </c>
      <c r="V20" s="28">
        <v>803131500</v>
      </c>
      <c r="W20" s="33">
        <f>LOG10(V20)</f>
        <v>8.9047866599097034</v>
      </c>
    </row>
    <row r="21" spans="1:23" x14ac:dyDescent="0.25">
      <c r="A21" s="29" t="s">
        <v>25</v>
      </c>
      <c r="B21" s="27" t="s">
        <v>7</v>
      </c>
      <c r="C21" s="27" t="s">
        <v>8</v>
      </c>
      <c r="D21" s="27">
        <v>31.8</v>
      </c>
      <c r="E21" s="28">
        <v>320</v>
      </c>
      <c r="F21" s="29">
        <v>96000</v>
      </c>
      <c r="G21" s="33">
        <f t="shared" ref="G21:G28" si="5">LOG10(F21)</f>
        <v>4.982271233039568</v>
      </c>
      <c r="H21" s="30"/>
      <c r="I21" s="29" t="s">
        <v>25</v>
      </c>
      <c r="J21" s="27" t="s">
        <v>7</v>
      </c>
      <c r="K21" s="27" t="s">
        <v>8</v>
      </c>
      <c r="L21" s="27">
        <v>28.2</v>
      </c>
      <c r="M21" s="28">
        <v>4225</v>
      </c>
      <c r="N21" s="29">
        <v>1267500</v>
      </c>
      <c r="O21" s="33">
        <f t="shared" ref="O21:O28" si="6">LOG10(N21)</f>
        <v>6.102947968005374</v>
      </c>
      <c r="Q21" s="29" t="s">
        <v>25</v>
      </c>
      <c r="R21" s="27" t="s">
        <v>7</v>
      </c>
      <c r="S21" s="27" t="s">
        <v>8</v>
      </c>
      <c r="T21" s="27">
        <v>32.6</v>
      </c>
      <c r="U21" s="28">
        <v>178</v>
      </c>
      <c r="V21" s="28">
        <v>53400</v>
      </c>
      <c r="W21" s="33">
        <f t="shared" ref="W21:W28" si="7">LOG10(V21)</f>
        <v>4.7275412570285562</v>
      </c>
    </row>
    <row r="22" spans="1:23" x14ac:dyDescent="0.25">
      <c r="A22" s="29" t="s">
        <v>27</v>
      </c>
      <c r="B22" s="27" t="s">
        <v>7</v>
      </c>
      <c r="C22" s="27" t="s">
        <v>8</v>
      </c>
      <c r="D22" s="27">
        <v>17.600000000000001</v>
      </c>
      <c r="E22" s="28">
        <v>8530155</v>
      </c>
      <c r="F22" s="29">
        <v>2559046500</v>
      </c>
      <c r="G22" s="33">
        <f t="shared" si="5"/>
        <v>9.4080781774502693</v>
      </c>
      <c r="H22" s="30"/>
      <c r="I22" s="29" t="s">
        <v>27</v>
      </c>
      <c r="J22" s="27" t="s">
        <v>7</v>
      </c>
      <c r="K22" s="27" t="s">
        <v>8</v>
      </c>
      <c r="L22" s="27">
        <v>22</v>
      </c>
      <c r="M22" s="28">
        <v>366649</v>
      </c>
      <c r="N22" s="29">
        <v>109994700</v>
      </c>
      <c r="O22" s="33">
        <f t="shared" si="6"/>
        <v>8.0413717595563394</v>
      </c>
      <c r="Q22" s="29" t="s">
        <v>27</v>
      </c>
      <c r="R22" s="27" t="s">
        <v>7</v>
      </c>
      <c r="S22" s="27" t="s">
        <v>8</v>
      </c>
      <c r="T22" s="27">
        <v>25.2</v>
      </c>
      <c r="U22" s="28">
        <v>36008</v>
      </c>
      <c r="V22" s="28">
        <v>10802400</v>
      </c>
      <c r="W22" s="33">
        <f t="shared" si="7"/>
        <v>7.0335202546500852</v>
      </c>
    </row>
    <row r="23" spans="1:23" x14ac:dyDescent="0.25">
      <c r="A23" s="29" t="s">
        <v>29</v>
      </c>
      <c r="B23" s="27" t="s">
        <v>7</v>
      </c>
      <c r="C23" s="27" t="s">
        <v>8</v>
      </c>
      <c r="D23" s="27">
        <v>12.7</v>
      </c>
      <c r="E23" s="28">
        <v>280407616</v>
      </c>
      <c r="F23" s="29">
        <v>84122284800</v>
      </c>
      <c r="G23" s="33">
        <f t="shared" si="5"/>
        <v>10.924911059812629</v>
      </c>
      <c r="H23" s="30"/>
      <c r="I23" s="29" t="s">
        <v>29</v>
      </c>
      <c r="J23" s="27" t="s">
        <v>7</v>
      </c>
      <c r="K23" s="27" t="s">
        <v>8</v>
      </c>
      <c r="L23" s="27">
        <v>20.2</v>
      </c>
      <c r="M23" s="28">
        <v>1280108</v>
      </c>
      <c r="N23" s="29">
        <v>384032400</v>
      </c>
      <c r="O23" s="33">
        <f t="shared" si="6"/>
        <v>8.584367866418626</v>
      </c>
      <c r="Q23" s="29" t="s">
        <v>29</v>
      </c>
      <c r="R23" s="27" t="s">
        <v>7</v>
      </c>
      <c r="S23" s="27" t="s">
        <v>8</v>
      </c>
      <c r="T23" s="27">
        <v>23.9</v>
      </c>
      <c r="U23" s="28">
        <v>88269.758000000002</v>
      </c>
      <c r="V23" s="28">
        <v>26480927.399999999</v>
      </c>
      <c r="W23" s="33">
        <f t="shared" si="7"/>
        <v>7.4229331906486946</v>
      </c>
    </row>
    <row r="24" spans="1:23" x14ac:dyDescent="0.25">
      <c r="A24" s="29" t="s">
        <v>31</v>
      </c>
      <c r="B24" s="27" t="s">
        <v>7</v>
      </c>
      <c r="C24" s="27" t="s">
        <v>8</v>
      </c>
      <c r="D24" s="27">
        <v>17.600000000000001</v>
      </c>
      <c r="E24" s="28">
        <v>8680922</v>
      </c>
      <c r="F24" s="29">
        <v>2604276600</v>
      </c>
      <c r="G24" s="33">
        <f t="shared" si="5"/>
        <v>9.4156871087264893</v>
      </c>
      <c r="H24" s="30"/>
      <c r="I24" s="29" t="s">
        <v>31</v>
      </c>
      <c r="J24" s="27" t="s">
        <v>7</v>
      </c>
      <c r="K24" s="27" t="s">
        <v>8</v>
      </c>
      <c r="L24" s="27">
        <v>18.100000000000001</v>
      </c>
      <c r="M24" s="28">
        <v>5999015</v>
      </c>
      <c r="N24" s="29">
        <v>1799704500</v>
      </c>
      <c r="O24" s="33">
        <f t="shared" si="6"/>
        <v>9.25520120257295</v>
      </c>
      <c r="Q24" s="29" t="s">
        <v>31</v>
      </c>
      <c r="R24" s="27" t="s">
        <v>7</v>
      </c>
      <c r="S24" s="27" t="s">
        <v>8</v>
      </c>
      <c r="T24" s="27">
        <v>28.2</v>
      </c>
      <c r="U24" s="28">
        <v>4150.1059999999998</v>
      </c>
      <c r="V24" s="28">
        <v>1245031.8</v>
      </c>
      <c r="W24" s="33">
        <f t="shared" si="7"/>
        <v>6.0951804441130015</v>
      </c>
    </row>
    <row r="25" spans="1:23" x14ac:dyDescent="0.25">
      <c r="A25" s="29" t="s">
        <v>33</v>
      </c>
      <c r="B25" s="27" t="s">
        <v>7</v>
      </c>
      <c r="C25" s="27" t="s">
        <v>8</v>
      </c>
      <c r="D25" s="27">
        <v>11.8</v>
      </c>
      <c r="E25" s="28">
        <v>541848560</v>
      </c>
      <c r="F25" s="29">
        <v>162554568000</v>
      </c>
      <c r="G25" s="33">
        <f t="shared" si="5"/>
        <v>11.21099917825736</v>
      </c>
      <c r="H25" s="30"/>
      <c r="I25" s="29" t="s">
        <v>33</v>
      </c>
      <c r="J25" s="27" t="s">
        <v>7</v>
      </c>
      <c r="K25" s="27" t="s">
        <v>8</v>
      </c>
      <c r="L25" s="27">
        <v>20.8</v>
      </c>
      <c r="M25" s="28">
        <v>847206</v>
      </c>
      <c r="N25" s="29">
        <v>254161800</v>
      </c>
      <c r="O25" s="33">
        <f t="shared" si="6"/>
        <v>8.4051102775481557</v>
      </c>
      <c r="Q25" s="29" t="s">
        <v>33</v>
      </c>
      <c r="R25" s="27" t="s">
        <v>7</v>
      </c>
      <c r="S25" s="27" t="s">
        <v>8</v>
      </c>
      <c r="T25" s="27">
        <v>23.1</v>
      </c>
      <c r="U25" s="28">
        <v>166483.94</v>
      </c>
      <c r="V25" s="28">
        <v>49945182</v>
      </c>
      <c r="W25" s="33">
        <f t="shared" si="7"/>
        <v>7.6984936000347837</v>
      </c>
    </row>
    <row r="26" spans="1:23" x14ac:dyDescent="0.25">
      <c r="A26" s="29" t="s">
        <v>35</v>
      </c>
      <c r="B26" s="27" t="s">
        <v>7</v>
      </c>
      <c r="C26" s="27" t="s">
        <v>8</v>
      </c>
      <c r="D26" s="27">
        <v>18.399999999999999</v>
      </c>
      <c r="E26" s="28">
        <v>4748327</v>
      </c>
      <c r="F26" s="29">
        <v>1424498100</v>
      </c>
      <c r="G26" s="33">
        <f t="shared" si="5"/>
        <v>9.1536618743125509</v>
      </c>
      <c r="H26" s="30"/>
      <c r="I26" s="29" t="s">
        <v>35</v>
      </c>
      <c r="J26" s="27" t="s">
        <v>7</v>
      </c>
      <c r="K26" s="27" t="s">
        <v>8</v>
      </c>
      <c r="L26" s="27">
        <v>25.2</v>
      </c>
      <c r="M26" s="28">
        <v>35210</v>
      </c>
      <c r="N26" s="29">
        <v>10563000</v>
      </c>
      <c r="O26" s="33">
        <f t="shared" si="6"/>
        <v>7.0237872797898468</v>
      </c>
      <c r="Q26" s="29" t="s">
        <v>35</v>
      </c>
      <c r="R26" s="27" t="s">
        <v>7</v>
      </c>
      <c r="S26" s="27" t="s">
        <v>8</v>
      </c>
      <c r="T26" s="27">
        <v>22</v>
      </c>
      <c r="U26" s="28">
        <v>351517.58900000004</v>
      </c>
      <c r="V26" s="28">
        <v>105455276.7</v>
      </c>
      <c r="W26" s="33">
        <f t="shared" si="7"/>
        <v>8.0230683155535321</v>
      </c>
    </row>
    <row r="27" spans="1:23" x14ac:dyDescent="0.25">
      <c r="A27" s="29" t="s">
        <v>37</v>
      </c>
      <c r="B27" s="27" t="s">
        <v>7</v>
      </c>
      <c r="C27" s="27" t="s">
        <v>8</v>
      </c>
      <c r="D27" s="27">
        <v>13.8</v>
      </c>
      <c r="E27" s="28">
        <v>130873489</v>
      </c>
      <c r="F27" s="29">
        <v>39262046700</v>
      </c>
      <c r="G27" s="33">
        <f t="shared" si="5"/>
        <v>10.593972935288125</v>
      </c>
      <c r="H27" s="30"/>
      <c r="I27" s="29" t="s">
        <v>37</v>
      </c>
      <c r="J27" s="27" t="s">
        <v>7</v>
      </c>
      <c r="K27" s="27" t="s">
        <v>8</v>
      </c>
      <c r="L27" s="27">
        <v>26.6</v>
      </c>
      <c r="M27" s="28">
        <v>13628</v>
      </c>
      <c r="N27" s="29">
        <v>4088400</v>
      </c>
      <c r="O27" s="33">
        <f t="shared" si="6"/>
        <v>6.6115533796155024</v>
      </c>
      <c r="Q27" s="29" t="s">
        <v>37</v>
      </c>
      <c r="R27" s="27" t="s">
        <v>7</v>
      </c>
      <c r="S27" s="27" t="s">
        <v>8</v>
      </c>
      <c r="T27" s="27">
        <v>32.700000000000003</v>
      </c>
      <c r="U27" s="28">
        <v>170.44666666666666</v>
      </c>
      <c r="V27" s="28">
        <v>51134</v>
      </c>
      <c r="W27" s="33">
        <f t="shared" si="7"/>
        <v>4.7087097671051747</v>
      </c>
    </row>
    <row r="28" spans="1:23" x14ac:dyDescent="0.25">
      <c r="A28" s="29" t="s">
        <v>39</v>
      </c>
      <c r="B28" s="27" t="s">
        <v>7</v>
      </c>
      <c r="C28" s="27" t="s">
        <v>8</v>
      </c>
      <c r="D28" s="27">
        <v>15.8</v>
      </c>
      <c r="E28" s="28">
        <v>30915094</v>
      </c>
      <c r="F28" s="29">
        <v>9274528200</v>
      </c>
      <c r="G28" s="33">
        <f t="shared" si="5"/>
        <v>9.9672918260662566</v>
      </c>
      <c r="H28" s="30"/>
      <c r="I28" s="29" t="s">
        <v>39</v>
      </c>
      <c r="J28" s="27" t="s">
        <v>7</v>
      </c>
      <c r="K28" s="27" t="s">
        <v>8</v>
      </c>
      <c r="L28" s="27">
        <v>24.2</v>
      </c>
      <c r="M28" s="28">
        <v>74852</v>
      </c>
      <c r="N28" s="29">
        <v>22455600</v>
      </c>
      <c r="O28" s="33">
        <f t="shared" si="6"/>
        <v>7.3513246636386747</v>
      </c>
      <c r="Q28" s="29" t="s">
        <v>39</v>
      </c>
      <c r="R28" s="27" t="s">
        <v>7</v>
      </c>
      <c r="S28" s="27" t="s">
        <v>8</v>
      </c>
      <c r="T28" s="27">
        <v>32.799999999999997</v>
      </c>
      <c r="U28" s="28">
        <v>158.13999999999999</v>
      </c>
      <c r="V28" s="28">
        <v>47442</v>
      </c>
      <c r="W28" s="33">
        <f t="shared" si="7"/>
        <v>4.6761629891811456</v>
      </c>
    </row>
    <row r="29" spans="1:23" x14ac:dyDescent="0.25">
      <c r="A29" s="29" t="s">
        <v>41</v>
      </c>
      <c r="B29" s="27" t="s">
        <v>7</v>
      </c>
      <c r="C29" s="27" t="s">
        <v>8</v>
      </c>
      <c r="D29" s="27">
        <v>21.5</v>
      </c>
      <c r="E29" s="28">
        <v>529314</v>
      </c>
      <c r="F29" s="29">
        <v>158794200</v>
      </c>
      <c r="G29" s="33">
        <f>LOG10(F29)</f>
        <v>8.2008346356603692</v>
      </c>
      <c r="H29" s="30"/>
      <c r="I29" s="29" t="s">
        <v>41</v>
      </c>
      <c r="J29" s="27" t="s">
        <v>7</v>
      </c>
      <c r="K29" s="27" t="s">
        <v>8</v>
      </c>
      <c r="L29" s="27">
        <v>36.799999999999997</v>
      </c>
      <c r="M29" s="28">
        <v>9</v>
      </c>
      <c r="N29" s="29">
        <v>2700</v>
      </c>
      <c r="O29" s="33">
        <f>LOG10(N29)</f>
        <v>3.4313637641589874</v>
      </c>
      <c r="Q29" s="29" t="s">
        <v>41</v>
      </c>
      <c r="R29" s="27" t="s">
        <v>7</v>
      </c>
      <c r="S29" s="27" t="s">
        <v>8</v>
      </c>
      <c r="T29" s="27">
        <v>35.1</v>
      </c>
      <c r="U29" s="28">
        <v>29</v>
      </c>
      <c r="V29" s="28">
        <v>8700</v>
      </c>
      <c r="W29" s="33">
        <f>LOG10(V29)</f>
        <v>3.9395192526186187</v>
      </c>
    </row>
    <row r="30" spans="1:23" x14ac:dyDescent="0.25">
      <c r="A30" s="29" t="s">
        <v>43</v>
      </c>
      <c r="B30" s="27" t="s">
        <v>7</v>
      </c>
      <c r="C30" s="27" t="s">
        <v>8</v>
      </c>
      <c r="D30" s="27">
        <v>23.3</v>
      </c>
      <c r="E30" s="28">
        <v>140286</v>
      </c>
      <c r="F30" s="29">
        <v>42085800</v>
      </c>
      <c r="G30" s="33">
        <f t="shared" ref="G30:G31" si="8">LOG10(F30)</f>
        <v>7.624135587001601</v>
      </c>
      <c r="H30" s="30"/>
      <c r="I30" s="29" t="s">
        <v>43</v>
      </c>
      <c r="J30" s="27" t="s">
        <v>7</v>
      </c>
      <c r="K30" s="27" t="s">
        <v>8</v>
      </c>
      <c r="L30" s="27" t="s">
        <v>134</v>
      </c>
      <c r="M30" s="28">
        <v>1</v>
      </c>
      <c r="N30" s="29">
        <v>300</v>
      </c>
      <c r="O30" s="33">
        <f t="shared" ref="O30:O31" si="9">LOG10(N30)</f>
        <v>2.4771212547196626</v>
      </c>
      <c r="Q30" s="29" t="s">
        <v>43</v>
      </c>
      <c r="R30" s="27" t="s">
        <v>7</v>
      </c>
      <c r="S30" s="27" t="s">
        <v>8</v>
      </c>
      <c r="T30" s="27">
        <v>32</v>
      </c>
      <c r="U30" s="28">
        <v>280</v>
      </c>
      <c r="V30" s="28">
        <v>84000</v>
      </c>
      <c r="W30" s="33">
        <f t="shared" ref="W30:W31" si="10">LOG10(V30)</f>
        <v>4.924279286061882</v>
      </c>
    </row>
    <row r="31" spans="1:23" x14ac:dyDescent="0.25">
      <c r="A31" s="29" t="s">
        <v>45</v>
      </c>
      <c r="B31" s="27" t="s">
        <v>7</v>
      </c>
      <c r="C31" s="27" t="s">
        <v>8</v>
      </c>
      <c r="D31" s="27">
        <v>19.3</v>
      </c>
      <c r="E31" s="28">
        <v>2514000</v>
      </c>
      <c r="F31" s="29">
        <v>754200000</v>
      </c>
      <c r="G31" s="33">
        <f t="shared" si="8"/>
        <v>8.8774865280696016</v>
      </c>
      <c r="H31" s="30"/>
      <c r="I31" s="29" t="s">
        <v>45</v>
      </c>
      <c r="J31" s="27" t="s">
        <v>7</v>
      </c>
      <c r="K31" s="27" t="s">
        <v>8</v>
      </c>
      <c r="L31" s="27">
        <v>26.3</v>
      </c>
      <c r="M31" s="28">
        <v>16624</v>
      </c>
      <c r="N31" s="29">
        <v>4987200</v>
      </c>
      <c r="O31" s="33">
        <f t="shared" si="9"/>
        <v>6.6978567849327648</v>
      </c>
      <c r="Q31" s="29" t="s">
        <v>45</v>
      </c>
      <c r="R31" s="27" t="s">
        <v>7</v>
      </c>
      <c r="S31" s="27" t="s">
        <v>8</v>
      </c>
      <c r="T31" s="27">
        <v>37.6</v>
      </c>
      <c r="U31" s="28">
        <v>5</v>
      </c>
      <c r="V31" s="28">
        <v>1500</v>
      </c>
      <c r="W31" s="33">
        <f t="shared" si="10"/>
        <v>3.1760912590556813</v>
      </c>
    </row>
    <row r="32" spans="1:23" x14ac:dyDescent="0.25">
      <c r="A32" s="30"/>
      <c r="B32" s="30"/>
      <c r="C32" s="30"/>
      <c r="D32" s="30"/>
      <c r="E32" s="31"/>
      <c r="F32" s="30"/>
      <c r="G32" s="30"/>
      <c r="H32" s="30"/>
    </row>
    <row r="33" spans="1:23" s="35" customFormat="1" x14ac:dyDescent="0.25">
      <c r="A33" s="39" t="s">
        <v>48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1"/>
    </row>
    <row r="34" spans="1:23" s="35" customFormat="1" x14ac:dyDescent="0.25">
      <c r="A34" s="42" t="s">
        <v>137</v>
      </c>
      <c r="B34" s="42"/>
      <c r="C34" s="42"/>
      <c r="D34" s="42"/>
      <c r="E34" s="42"/>
      <c r="F34" s="42"/>
      <c r="G34" s="42"/>
      <c r="H34" s="34"/>
      <c r="I34" s="42" t="s">
        <v>139</v>
      </c>
      <c r="J34" s="42"/>
      <c r="K34" s="42"/>
      <c r="L34" s="42"/>
      <c r="M34" s="42"/>
      <c r="N34" s="42"/>
      <c r="O34" s="42"/>
      <c r="P34" s="34"/>
      <c r="Q34" s="42" t="s">
        <v>138</v>
      </c>
      <c r="R34" s="42"/>
      <c r="S34" s="42"/>
      <c r="T34" s="42"/>
      <c r="U34" s="42"/>
      <c r="V34" s="42"/>
      <c r="W34" s="42"/>
    </row>
    <row r="35" spans="1:23" ht="16.5" x14ac:dyDescent="0.3">
      <c r="A35" s="27" t="s">
        <v>3</v>
      </c>
      <c r="B35" s="27" t="s">
        <v>4</v>
      </c>
      <c r="C35" s="27" t="s">
        <v>5</v>
      </c>
      <c r="D35" s="27" t="s">
        <v>84</v>
      </c>
      <c r="E35" s="28" t="s">
        <v>83</v>
      </c>
      <c r="F35" s="27" t="s">
        <v>22</v>
      </c>
      <c r="G35" s="27" t="s">
        <v>133</v>
      </c>
      <c r="H35" s="30"/>
      <c r="I35" s="27" t="s">
        <v>3</v>
      </c>
      <c r="J35" s="27" t="s">
        <v>4</v>
      </c>
      <c r="K35" s="27" t="s">
        <v>5</v>
      </c>
      <c r="L35" s="27" t="s">
        <v>84</v>
      </c>
      <c r="M35" s="28" t="s">
        <v>83</v>
      </c>
      <c r="N35" s="27" t="s">
        <v>22</v>
      </c>
      <c r="O35" s="27" t="s">
        <v>133</v>
      </c>
      <c r="Q35" s="27" t="s">
        <v>3</v>
      </c>
      <c r="R35" s="27" t="s">
        <v>4</v>
      </c>
      <c r="S35" s="27" t="s">
        <v>5</v>
      </c>
      <c r="T35" s="27" t="s">
        <v>84</v>
      </c>
      <c r="U35" s="28" t="s">
        <v>83</v>
      </c>
      <c r="V35" s="27" t="s">
        <v>22</v>
      </c>
      <c r="W35" s="27" t="s">
        <v>133</v>
      </c>
    </row>
    <row r="36" spans="1:23" x14ac:dyDescent="0.25">
      <c r="A36" s="29" t="s">
        <v>24</v>
      </c>
      <c r="B36" s="27" t="s">
        <v>7</v>
      </c>
      <c r="C36" s="27" t="s">
        <v>8</v>
      </c>
      <c r="D36" s="27">
        <v>36.5</v>
      </c>
      <c r="E36" s="28">
        <v>11</v>
      </c>
      <c r="F36" s="29">
        <v>3300</v>
      </c>
      <c r="G36" s="33">
        <f t="shared" ref="G36:G47" si="11">LOG10(F36)</f>
        <v>3.5185139398778875</v>
      </c>
      <c r="H36" s="30"/>
      <c r="I36" s="29" t="s">
        <v>24</v>
      </c>
      <c r="J36" s="27" t="s">
        <v>7</v>
      </c>
      <c r="K36" s="27" t="s">
        <v>8</v>
      </c>
      <c r="L36" s="27">
        <v>36.4</v>
      </c>
      <c r="M36" s="28">
        <f>N36/300</f>
        <v>12</v>
      </c>
      <c r="N36" s="29">
        <v>3600</v>
      </c>
      <c r="O36" s="33">
        <f>LOG10(N36)</f>
        <v>3.5563025007672873</v>
      </c>
      <c r="Q36" s="29" t="s">
        <v>24</v>
      </c>
      <c r="R36" s="27" t="s">
        <v>7</v>
      </c>
      <c r="S36" s="27" t="s">
        <v>8</v>
      </c>
      <c r="T36" s="27">
        <v>34.1</v>
      </c>
      <c r="U36" s="28">
        <f>V36/300</f>
        <v>61</v>
      </c>
      <c r="V36" s="29">
        <v>18300</v>
      </c>
      <c r="W36" s="33">
        <f>LOG10(V36)</f>
        <v>4.2624510897304297</v>
      </c>
    </row>
    <row r="37" spans="1:23" x14ac:dyDescent="0.25">
      <c r="A37" s="29" t="s">
        <v>26</v>
      </c>
      <c r="B37" s="27" t="s">
        <v>7</v>
      </c>
      <c r="C37" s="27" t="s">
        <v>8</v>
      </c>
      <c r="D37" s="27">
        <v>35.9</v>
      </c>
      <c r="E37" s="28">
        <v>17</v>
      </c>
      <c r="F37" s="29">
        <v>5100</v>
      </c>
      <c r="G37" s="33">
        <f t="shared" si="11"/>
        <v>3.7075701760979363</v>
      </c>
      <c r="H37" s="30"/>
      <c r="I37" s="29" t="s">
        <v>26</v>
      </c>
      <c r="J37" s="27" t="s">
        <v>7</v>
      </c>
      <c r="K37" s="27" t="s">
        <v>8</v>
      </c>
      <c r="L37" s="27">
        <v>37.9</v>
      </c>
      <c r="M37" s="28">
        <f t="shared" ref="M37:M47" si="12">N37/300</f>
        <v>4</v>
      </c>
      <c r="N37" s="29">
        <v>1200</v>
      </c>
      <c r="O37" s="33">
        <f t="shared" ref="O37:O44" si="13">LOG10(N37)</f>
        <v>3.0791812460476247</v>
      </c>
      <c r="Q37" s="29" t="s">
        <v>26</v>
      </c>
      <c r="R37" s="27" t="s">
        <v>7</v>
      </c>
      <c r="S37" s="27" t="s">
        <v>8</v>
      </c>
      <c r="T37" s="27">
        <v>35.299999999999997</v>
      </c>
      <c r="U37" s="28">
        <f t="shared" ref="U37:U47" si="14">V37/300</f>
        <v>25</v>
      </c>
      <c r="V37" s="29">
        <v>7500</v>
      </c>
      <c r="W37" s="33">
        <f t="shared" ref="W37:W44" si="15">LOG10(V37)</f>
        <v>3.8750612633917001</v>
      </c>
    </row>
    <row r="38" spans="1:23" x14ac:dyDescent="0.25">
      <c r="A38" s="29" t="s">
        <v>28</v>
      </c>
      <c r="B38" s="27" t="s">
        <v>7</v>
      </c>
      <c r="C38" s="27" t="s">
        <v>8</v>
      </c>
      <c r="D38" s="27">
        <v>36.9</v>
      </c>
      <c r="E38" s="28">
        <v>8</v>
      </c>
      <c r="F38" s="29">
        <v>2400</v>
      </c>
      <c r="G38" s="33">
        <f t="shared" si="11"/>
        <v>3.3802112417116059</v>
      </c>
      <c r="H38" s="30"/>
      <c r="I38" s="29" t="s">
        <v>28</v>
      </c>
      <c r="J38" s="27" t="s">
        <v>7</v>
      </c>
      <c r="K38" s="27" t="s">
        <v>8</v>
      </c>
      <c r="L38" s="27">
        <v>37.9</v>
      </c>
      <c r="M38" s="28">
        <f t="shared" si="12"/>
        <v>4</v>
      </c>
      <c r="N38" s="29">
        <v>1200</v>
      </c>
      <c r="O38" s="33">
        <f t="shared" si="13"/>
        <v>3.0791812460476247</v>
      </c>
      <c r="Q38" s="29" t="s">
        <v>28</v>
      </c>
      <c r="R38" s="27" t="s">
        <v>7</v>
      </c>
      <c r="S38" s="27" t="s">
        <v>8</v>
      </c>
      <c r="T38" s="27">
        <v>37.1</v>
      </c>
      <c r="U38" s="28">
        <f t="shared" si="14"/>
        <v>7</v>
      </c>
      <c r="V38" s="29">
        <v>2100</v>
      </c>
      <c r="W38" s="33">
        <f t="shared" si="15"/>
        <v>3.3222192947339191</v>
      </c>
    </row>
    <row r="39" spans="1:23" x14ac:dyDescent="0.25">
      <c r="A39" s="29" t="s">
        <v>30</v>
      </c>
      <c r="B39" s="27" t="s">
        <v>7</v>
      </c>
      <c r="C39" s="27" t="s">
        <v>8</v>
      </c>
      <c r="D39" s="27">
        <v>35.1</v>
      </c>
      <c r="E39" s="28">
        <v>30</v>
      </c>
      <c r="F39" s="29">
        <v>9000</v>
      </c>
      <c r="G39" s="33">
        <f t="shared" si="11"/>
        <v>3.9542425094393248</v>
      </c>
      <c r="H39" s="30"/>
      <c r="I39" s="29" t="s">
        <v>30</v>
      </c>
      <c r="J39" s="27" t="s">
        <v>7</v>
      </c>
      <c r="K39" s="27" t="s">
        <v>8</v>
      </c>
      <c r="L39" s="27">
        <v>34.1</v>
      </c>
      <c r="M39" s="28">
        <f t="shared" si="12"/>
        <v>60</v>
      </c>
      <c r="N39" s="29">
        <v>18000</v>
      </c>
      <c r="O39" s="33">
        <f t="shared" si="13"/>
        <v>4.2552725051033065</v>
      </c>
      <c r="Q39" s="29" t="s">
        <v>30</v>
      </c>
      <c r="R39" s="27" t="s">
        <v>7</v>
      </c>
      <c r="S39" s="27" t="s">
        <v>8</v>
      </c>
      <c r="T39" s="27">
        <v>36.1</v>
      </c>
      <c r="U39" s="28">
        <f t="shared" si="14"/>
        <v>14</v>
      </c>
      <c r="V39" s="29">
        <v>4200</v>
      </c>
      <c r="W39" s="33">
        <f t="shared" si="15"/>
        <v>3.6232492903979003</v>
      </c>
    </row>
    <row r="40" spans="1:23" x14ac:dyDescent="0.25">
      <c r="A40" s="29" t="s">
        <v>32</v>
      </c>
      <c r="B40" s="27" t="s">
        <v>7</v>
      </c>
      <c r="C40" s="27" t="s">
        <v>8</v>
      </c>
      <c r="D40" s="27">
        <v>28.7</v>
      </c>
      <c r="E40" s="28">
        <v>2870</v>
      </c>
      <c r="F40" s="29">
        <v>861000</v>
      </c>
      <c r="G40" s="33">
        <f t="shared" si="11"/>
        <v>5.935003151453655</v>
      </c>
      <c r="H40" s="30"/>
      <c r="I40" s="29" t="s">
        <v>32</v>
      </c>
      <c r="J40" s="27" t="s">
        <v>7</v>
      </c>
      <c r="K40" s="27" t="s">
        <v>8</v>
      </c>
      <c r="L40" s="27">
        <v>36.5</v>
      </c>
      <c r="M40" s="28">
        <f t="shared" si="12"/>
        <v>11</v>
      </c>
      <c r="N40" s="29">
        <v>3300</v>
      </c>
      <c r="O40" s="33">
        <f t="shared" si="13"/>
        <v>3.5185139398778875</v>
      </c>
      <c r="Q40" s="29" t="s">
        <v>32</v>
      </c>
      <c r="R40" s="27" t="s">
        <v>7</v>
      </c>
      <c r="S40" s="27" t="s">
        <v>8</v>
      </c>
      <c r="T40" s="27">
        <v>36.5</v>
      </c>
      <c r="U40" s="28">
        <f t="shared" si="14"/>
        <v>11</v>
      </c>
      <c r="V40" s="29">
        <v>3300</v>
      </c>
      <c r="W40" s="33">
        <f t="shared" si="15"/>
        <v>3.5185139398778875</v>
      </c>
    </row>
    <row r="41" spans="1:23" x14ac:dyDescent="0.25">
      <c r="A41" s="29" t="s">
        <v>34</v>
      </c>
      <c r="B41" s="27" t="s">
        <v>7</v>
      </c>
      <c r="C41" s="27" t="s">
        <v>8</v>
      </c>
      <c r="D41" s="27">
        <v>30.6</v>
      </c>
      <c r="E41" s="28">
        <v>772</v>
      </c>
      <c r="F41" s="29">
        <v>231600</v>
      </c>
      <c r="G41" s="33">
        <f t="shared" si="11"/>
        <v>5.364738555055399</v>
      </c>
      <c r="H41" s="30"/>
      <c r="I41" s="29" t="s">
        <v>34</v>
      </c>
      <c r="J41" s="27" t="s">
        <v>7</v>
      </c>
      <c r="K41" s="27" t="s">
        <v>8</v>
      </c>
      <c r="L41" s="27">
        <v>34.4</v>
      </c>
      <c r="M41" s="28">
        <f t="shared" si="12"/>
        <v>50</v>
      </c>
      <c r="N41" s="29">
        <v>15000</v>
      </c>
      <c r="O41" s="33">
        <f t="shared" si="13"/>
        <v>4.1760912590556813</v>
      </c>
      <c r="Q41" s="29" t="s">
        <v>34</v>
      </c>
      <c r="R41" s="27" t="s">
        <v>7</v>
      </c>
      <c r="S41" s="27" t="s">
        <v>8</v>
      </c>
      <c r="T41" s="27">
        <v>35.299999999999997</v>
      </c>
      <c r="U41" s="28">
        <f t="shared" si="14"/>
        <v>25</v>
      </c>
      <c r="V41" s="29">
        <v>7500</v>
      </c>
      <c r="W41" s="33">
        <f t="shared" si="15"/>
        <v>3.8750612633917001</v>
      </c>
    </row>
    <row r="42" spans="1:23" x14ac:dyDescent="0.25">
      <c r="A42" s="29" t="s">
        <v>36</v>
      </c>
      <c r="B42" s="27" t="s">
        <v>7</v>
      </c>
      <c r="C42" s="27" t="s">
        <v>8</v>
      </c>
      <c r="D42" s="27">
        <v>33.4</v>
      </c>
      <c r="E42" s="28">
        <v>103</v>
      </c>
      <c r="F42" s="29">
        <v>30900</v>
      </c>
      <c r="G42" s="33">
        <f t="shared" si="11"/>
        <v>4.4899584794248346</v>
      </c>
      <c r="H42" s="30"/>
      <c r="I42" s="29" t="s">
        <v>36</v>
      </c>
      <c r="J42" s="27" t="s">
        <v>7</v>
      </c>
      <c r="K42" s="27" t="s">
        <v>8</v>
      </c>
      <c r="L42" s="27">
        <v>39.799999999999997</v>
      </c>
      <c r="M42" s="28" t="s">
        <v>131</v>
      </c>
      <c r="N42" s="29">
        <v>300</v>
      </c>
      <c r="O42" s="33">
        <f t="shared" si="13"/>
        <v>2.4771212547196626</v>
      </c>
      <c r="Q42" s="29" t="s">
        <v>36</v>
      </c>
      <c r="R42" s="27" t="s">
        <v>7</v>
      </c>
      <c r="S42" s="27" t="s">
        <v>8</v>
      </c>
      <c r="T42" s="27">
        <v>36.5</v>
      </c>
      <c r="U42" s="28">
        <f t="shared" si="14"/>
        <v>11</v>
      </c>
      <c r="V42" s="29">
        <v>3300</v>
      </c>
      <c r="W42" s="33">
        <f t="shared" si="15"/>
        <v>3.5185139398778875</v>
      </c>
    </row>
    <row r="43" spans="1:23" x14ac:dyDescent="0.25">
      <c r="A43" s="29" t="s">
        <v>38</v>
      </c>
      <c r="B43" s="27" t="s">
        <v>7</v>
      </c>
      <c r="C43" s="27" t="s">
        <v>8</v>
      </c>
      <c r="D43" s="27">
        <v>29.7</v>
      </c>
      <c r="E43" s="28">
        <v>1425</v>
      </c>
      <c r="F43" s="29">
        <v>427500</v>
      </c>
      <c r="G43" s="33">
        <f t="shared" si="11"/>
        <v>5.6309361190641916</v>
      </c>
      <c r="H43" s="30"/>
      <c r="I43" s="29" t="s">
        <v>38</v>
      </c>
      <c r="J43" s="27" t="s">
        <v>7</v>
      </c>
      <c r="K43" s="27" t="s">
        <v>8</v>
      </c>
      <c r="L43" s="27">
        <v>33.9</v>
      </c>
      <c r="M43" s="28">
        <f t="shared" si="12"/>
        <v>68</v>
      </c>
      <c r="N43" s="29">
        <v>20400</v>
      </c>
      <c r="O43" s="33">
        <f t="shared" si="13"/>
        <v>4.3096301674258983</v>
      </c>
      <c r="Q43" s="29" t="s">
        <v>38</v>
      </c>
      <c r="R43" s="27" t="s">
        <v>7</v>
      </c>
      <c r="S43" s="27" t="s">
        <v>8</v>
      </c>
      <c r="T43" s="27">
        <v>36.799999999999997</v>
      </c>
      <c r="U43" s="28">
        <f t="shared" si="14"/>
        <v>9</v>
      </c>
      <c r="V43" s="29">
        <v>2700</v>
      </c>
      <c r="W43" s="33">
        <f t="shared" si="15"/>
        <v>3.4313637641589874</v>
      </c>
    </row>
    <row r="44" spans="1:23" x14ac:dyDescent="0.25">
      <c r="A44" s="29" t="s">
        <v>40</v>
      </c>
      <c r="B44" s="27" t="s">
        <v>7</v>
      </c>
      <c r="C44" s="27" t="s">
        <v>8</v>
      </c>
      <c r="D44" s="27">
        <v>24.6</v>
      </c>
      <c r="E44" s="28">
        <v>53769</v>
      </c>
      <c r="F44" s="29">
        <v>16130700</v>
      </c>
      <c r="G44" s="33">
        <f t="shared" si="11"/>
        <v>7.2076532142296923</v>
      </c>
      <c r="H44" s="30"/>
      <c r="I44" s="29" t="s">
        <v>40</v>
      </c>
      <c r="J44" s="27" t="s">
        <v>7</v>
      </c>
      <c r="K44" s="27" t="s">
        <v>8</v>
      </c>
      <c r="L44" s="27">
        <v>35.799999999999997</v>
      </c>
      <c r="M44" s="28">
        <f t="shared" si="12"/>
        <v>18</v>
      </c>
      <c r="N44" s="29">
        <v>5400</v>
      </c>
      <c r="O44" s="33">
        <f t="shared" si="13"/>
        <v>3.7323937598229686</v>
      </c>
      <c r="Q44" s="29" t="s">
        <v>40</v>
      </c>
      <c r="R44" s="27" t="s">
        <v>7</v>
      </c>
      <c r="S44" s="27" t="s">
        <v>8</v>
      </c>
      <c r="T44" s="27">
        <v>36.4</v>
      </c>
      <c r="U44" s="28">
        <f t="shared" si="14"/>
        <v>12</v>
      </c>
      <c r="V44" s="29">
        <v>3600</v>
      </c>
      <c r="W44" s="33">
        <f t="shared" si="15"/>
        <v>3.5563025007672873</v>
      </c>
    </row>
    <row r="45" spans="1:23" x14ac:dyDescent="0.25">
      <c r="A45" s="29" t="s">
        <v>42</v>
      </c>
      <c r="B45" s="27" t="s">
        <v>7</v>
      </c>
      <c r="C45" s="27" t="s">
        <v>8</v>
      </c>
      <c r="D45" s="27" t="s">
        <v>131</v>
      </c>
      <c r="E45" s="28">
        <v>1</v>
      </c>
      <c r="F45" s="29">
        <v>300</v>
      </c>
      <c r="G45" s="33">
        <f t="shared" si="11"/>
        <v>2.4771212547196626</v>
      </c>
      <c r="H45" s="30"/>
      <c r="I45" s="29" t="s">
        <v>42</v>
      </c>
      <c r="J45" s="27" t="s">
        <v>7</v>
      </c>
      <c r="K45" s="27" t="s">
        <v>8</v>
      </c>
      <c r="L45" s="27">
        <v>36.799999999999997</v>
      </c>
      <c r="M45" s="28">
        <f t="shared" si="12"/>
        <v>9</v>
      </c>
      <c r="N45" s="29">
        <v>2700</v>
      </c>
      <c r="O45" s="33">
        <f>LOG10(N45)</f>
        <v>3.4313637641589874</v>
      </c>
      <c r="Q45" s="29" t="s">
        <v>42</v>
      </c>
      <c r="R45" s="27" t="s">
        <v>7</v>
      </c>
      <c r="S45" s="27" t="s">
        <v>8</v>
      </c>
      <c r="T45" s="27">
        <v>37.6</v>
      </c>
      <c r="U45" s="28">
        <f t="shared" si="14"/>
        <v>5</v>
      </c>
      <c r="V45" s="29">
        <v>1500</v>
      </c>
      <c r="W45" s="33">
        <f>LOG10(V45)</f>
        <v>3.1760912590556813</v>
      </c>
    </row>
    <row r="46" spans="1:23" x14ac:dyDescent="0.25">
      <c r="A46" s="29" t="s">
        <v>44</v>
      </c>
      <c r="B46" s="27" t="s">
        <v>7</v>
      </c>
      <c r="C46" s="27" t="s">
        <v>8</v>
      </c>
      <c r="D46" s="27" t="s">
        <v>131</v>
      </c>
      <c r="E46" s="28">
        <v>1</v>
      </c>
      <c r="F46" s="29">
        <v>300</v>
      </c>
      <c r="G46" s="33">
        <f t="shared" si="11"/>
        <v>2.4771212547196626</v>
      </c>
      <c r="H46" s="30"/>
      <c r="I46" s="29" t="s">
        <v>44</v>
      </c>
      <c r="J46" s="27" t="s">
        <v>7</v>
      </c>
      <c r="K46" s="27" t="s">
        <v>8</v>
      </c>
      <c r="L46" s="28" t="s">
        <v>72</v>
      </c>
      <c r="M46" s="28">
        <v>1</v>
      </c>
      <c r="N46" s="29">
        <v>300</v>
      </c>
      <c r="O46" s="33">
        <f t="shared" ref="O46:O47" si="16">LOG10(N46)</f>
        <v>2.4771212547196626</v>
      </c>
      <c r="Q46" s="29" t="s">
        <v>44</v>
      </c>
      <c r="R46" s="27" t="s">
        <v>7</v>
      </c>
      <c r="S46" s="27" t="s">
        <v>8</v>
      </c>
      <c r="T46" s="27">
        <v>36</v>
      </c>
      <c r="U46" s="28">
        <f t="shared" si="14"/>
        <v>16</v>
      </c>
      <c r="V46" s="29">
        <v>4800</v>
      </c>
      <c r="W46" s="33">
        <f t="shared" ref="W46:W47" si="17">LOG10(V46)</f>
        <v>3.6812412373755872</v>
      </c>
    </row>
    <row r="47" spans="1:23" x14ac:dyDescent="0.25">
      <c r="A47" s="29" t="s">
        <v>46</v>
      </c>
      <c r="B47" s="27" t="s">
        <v>7</v>
      </c>
      <c r="C47" s="27" t="s">
        <v>8</v>
      </c>
      <c r="D47" s="27">
        <v>29.8</v>
      </c>
      <c r="E47" s="28">
        <v>1303</v>
      </c>
      <c r="F47" s="29">
        <v>390900</v>
      </c>
      <c r="G47" s="33">
        <f t="shared" si="11"/>
        <v>5.5920656704322473</v>
      </c>
      <c r="H47" s="30"/>
      <c r="I47" s="29" t="s">
        <v>46</v>
      </c>
      <c r="J47" s="27" t="s">
        <v>7</v>
      </c>
      <c r="K47" s="27" t="s">
        <v>8</v>
      </c>
      <c r="L47" s="27">
        <v>36.9</v>
      </c>
      <c r="M47" s="28">
        <f t="shared" si="12"/>
        <v>8</v>
      </c>
      <c r="N47" s="29">
        <v>2400</v>
      </c>
      <c r="O47" s="33">
        <f t="shared" si="16"/>
        <v>3.3802112417116059</v>
      </c>
      <c r="Q47" s="29" t="s">
        <v>46</v>
      </c>
      <c r="R47" s="27" t="s">
        <v>7</v>
      </c>
      <c r="S47" s="27" t="s">
        <v>8</v>
      </c>
      <c r="T47" s="27">
        <v>35.200000000000003</v>
      </c>
      <c r="U47" s="28">
        <f t="shared" si="14"/>
        <v>27</v>
      </c>
      <c r="V47" s="29">
        <v>8100</v>
      </c>
      <c r="W47" s="33">
        <f t="shared" si="17"/>
        <v>3.90848501887865</v>
      </c>
    </row>
    <row r="48" spans="1:23" x14ac:dyDescent="0.25">
      <c r="H48" s="30"/>
    </row>
    <row r="49" spans="1:8" x14ac:dyDescent="0.25">
      <c r="A49" s="26" t="s">
        <v>130</v>
      </c>
      <c r="H49" s="30"/>
    </row>
    <row r="50" spans="1:8" x14ac:dyDescent="0.25">
      <c r="H50" s="30"/>
    </row>
    <row r="51" spans="1:8" x14ac:dyDescent="0.25">
      <c r="H51" s="30"/>
    </row>
    <row r="52" spans="1:8" x14ac:dyDescent="0.25">
      <c r="H52" s="30"/>
    </row>
    <row r="53" spans="1:8" x14ac:dyDescent="0.25">
      <c r="H53" s="30"/>
    </row>
    <row r="54" spans="1:8" x14ac:dyDescent="0.25">
      <c r="H54" s="30"/>
    </row>
    <row r="55" spans="1:8" x14ac:dyDescent="0.25">
      <c r="H55" s="30"/>
    </row>
    <row r="56" spans="1:8" x14ac:dyDescent="0.25">
      <c r="H56" s="30"/>
    </row>
    <row r="57" spans="1:8" x14ac:dyDescent="0.25">
      <c r="H57" s="30"/>
    </row>
    <row r="58" spans="1:8" x14ac:dyDescent="0.25">
      <c r="H58" s="30"/>
    </row>
    <row r="59" spans="1:8" x14ac:dyDescent="0.25">
      <c r="H59" s="30"/>
    </row>
    <row r="60" spans="1:8" x14ac:dyDescent="0.25">
      <c r="H60" s="30"/>
    </row>
    <row r="61" spans="1:8" x14ac:dyDescent="0.25">
      <c r="H61" s="30"/>
    </row>
    <row r="78" spans="1:7" x14ac:dyDescent="0.25">
      <c r="A78" s="30"/>
      <c r="B78" s="30"/>
      <c r="C78" s="30"/>
      <c r="D78" s="30"/>
      <c r="E78" s="31"/>
      <c r="F78" s="30"/>
      <c r="G78" s="30"/>
    </row>
    <row r="93" spans="1:7" x14ac:dyDescent="0.25">
      <c r="A93" s="30"/>
      <c r="B93" s="30"/>
      <c r="C93" s="30"/>
      <c r="D93" s="30"/>
      <c r="E93" s="31"/>
      <c r="F93" s="30"/>
      <c r="G93" s="30"/>
    </row>
  </sheetData>
  <mergeCells count="12">
    <mergeCell ref="A1:W1"/>
    <mergeCell ref="A17:W17"/>
    <mergeCell ref="A33:W33"/>
    <mergeCell ref="I18:O18"/>
    <mergeCell ref="I34:O34"/>
    <mergeCell ref="Q18:W18"/>
    <mergeCell ref="Q34:W34"/>
    <mergeCell ref="A2:G2"/>
    <mergeCell ref="I2:O2"/>
    <mergeCell ref="Q2:W2"/>
    <mergeCell ref="A18:G18"/>
    <mergeCell ref="A34:G3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"/>
  <sheetViews>
    <sheetView zoomScale="85" zoomScaleNormal="85" workbookViewId="0">
      <selection activeCell="AG30" sqref="AG30"/>
    </sheetView>
  </sheetViews>
  <sheetFormatPr defaultRowHeight="14.25" x14ac:dyDescent="0.2"/>
  <cols>
    <col min="1" max="1" width="15.375" customWidth="1"/>
    <col min="2" max="2" width="11.5" customWidth="1"/>
    <col min="3" max="3" width="13" customWidth="1"/>
    <col min="4" max="4" width="10.25" customWidth="1"/>
    <col min="5" max="5" width="12.25" customWidth="1"/>
    <col min="6" max="6" width="10.5" customWidth="1"/>
    <col min="7" max="7" width="12.5" customWidth="1"/>
    <col min="8" max="8" width="10.5" customWidth="1"/>
    <col min="9" max="9" width="12.625" customWidth="1"/>
    <col min="10" max="10" width="10.625" customWidth="1"/>
    <col min="11" max="11" width="12.375" customWidth="1"/>
    <col min="12" max="12" width="10.75" customWidth="1"/>
    <col min="13" max="13" width="12.625" customWidth="1"/>
    <col min="14" max="14" width="10.25" customWidth="1"/>
    <col min="15" max="15" width="12.375" customWidth="1"/>
    <col min="16" max="16" width="15.625" customWidth="1"/>
    <col min="17" max="17" width="12.25" customWidth="1"/>
    <col min="18" max="18" width="12.5" customWidth="1"/>
    <col min="19" max="19" width="12.125" customWidth="1"/>
    <col min="20" max="20" width="12.5" customWidth="1"/>
    <col min="22" max="22" width="17" customWidth="1"/>
    <col min="23" max="23" width="10.875" customWidth="1"/>
    <col min="24" max="24" width="12.25" customWidth="1"/>
    <col min="25" max="25" width="10.25" customWidth="1"/>
    <col min="26" max="26" width="12.375" customWidth="1"/>
    <col min="27" max="27" width="10.625" customWidth="1"/>
    <col min="28" max="28" width="12.625" customWidth="1"/>
    <col min="29" max="29" width="11" customWidth="1"/>
    <col min="30" max="30" width="12.875" customWidth="1"/>
    <col min="31" max="31" width="10.875" customWidth="1"/>
    <col min="32" max="32" width="12.625" customWidth="1"/>
    <col min="33" max="33" width="10.75" customWidth="1"/>
    <col min="34" max="34" width="12.5" customWidth="1"/>
    <col min="35" max="35" width="10.375" customWidth="1"/>
    <col min="36" max="36" width="12.375" customWidth="1"/>
    <col min="37" max="37" width="15.375" customWidth="1"/>
    <col min="38" max="38" width="10.75" customWidth="1"/>
    <col min="39" max="39" width="12.625" customWidth="1"/>
    <col min="40" max="40" width="9.875" customWidth="1"/>
    <col min="41" max="41" width="12.375" customWidth="1"/>
  </cols>
  <sheetData>
    <row r="1" spans="1:41" ht="22.5" customHeight="1" x14ac:dyDescent="0.25">
      <c r="A1" s="45" t="s">
        <v>140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  <c r="U1" s="9"/>
      <c r="V1" s="45" t="s">
        <v>140</v>
      </c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7"/>
    </row>
    <row r="2" spans="1:41" x14ac:dyDescent="0.2">
      <c r="A2" s="7" t="s">
        <v>49</v>
      </c>
      <c r="B2" s="5" t="s">
        <v>86</v>
      </c>
      <c r="C2" s="5" t="s">
        <v>106</v>
      </c>
      <c r="D2" s="5" t="s">
        <v>88</v>
      </c>
      <c r="E2" s="5" t="s">
        <v>108</v>
      </c>
      <c r="F2" s="5" t="s">
        <v>90</v>
      </c>
      <c r="G2" s="5" t="s">
        <v>110</v>
      </c>
      <c r="H2" s="5" t="s">
        <v>92</v>
      </c>
      <c r="I2" s="5" t="s">
        <v>112</v>
      </c>
      <c r="J2" s="5" t="s">
        <v>94</v>
      </c>
      <c r="K2" s="5" t="s">
        <v>114</v>
      </c>
      <c r="L2" s="5" t="s">
        <v>96</v>
      </c>
      <c r="M2" s="5" t="s">
        <v>116</v>
      </c>
      <c r="N2" s="5" t="s">
        <v>98</v>
      </c>
      <c r="O2" s="5" t="s">
        <v>118</v>
      </c>
      <c r="P2" s="7" t="s">
        <v>49</v>
      </c>
      <c r="Q2" s="5" t="s">
        <v>102</v>
      </c>
      <c r="R2" s="5" t="s">
        <v>120</v>
      </c>
      <c r="S2" s="5" t="s">
        <v>104</v>
      </c>
      <c r="T2" s="5" t="s">
        <v>122</v>
      </c>
      <c r="V2" s="7" t="s">
        <v>49</v>
      </c>
      <c r="W2" s="5" t="s">
        <v>85</v>
      </c>
      <c r="X2" s="5" t="s">
        <v>105</v>
      </c>
      <c r="Y2" s="5" t="s">
        <v>87</v>
      </c>
      <c r="Z2" s="5" t="s">
        <v>107</v>
      </c>
      <c r="AA2" s="5" t="s">
        <v>89</v>
      </c>
      <c r="AB2" s="5" t="s">
        <v>109</v>
      </c>
      <c r="AC2" s="5" t="s">
        <v>91</v>
      </c>
      <c r="AD2" s="5" t="s">
        <v>111</v>
      </c>
      <c r="AE2" s="5" t="s">
        <v>93</v>
      </c>
      <c r="AF2" s="5" t="s">
        <v>113</v>
      </c>
      <c r="AG2" s="5" t="s">
        <v>95</v>
      </c>
      <c r="AH2" s="5" t="s">
        <v>115</v>
      </c>
      <c r="AI2" s="5" t="s">
        <v>97</v>
      </c>
      <c r="AJ2" s="5" t="s">
        <v>117</v>
      </c>
      <c r="AK2" s="7" t="s">
        <v>49</v>
      </c>
      <c r="AL2" s="5" t="s">
        <v>101</v>
      </c>
      <c r="AM2" s="5" t="s">
        <v>119</v>
      </c>
      <c r="AN2" s="5" t="s">
        <v>103</v>
      </c>
      <c r="AO2" s="5" t="s">
        <v>121</v>
      </c>
    </row>
    <row r="3" spans="1:41" x14ac:dyDescent="0.2">
      <c r="A3" s="7" t="s">
        <v>50</v>
      </c>
      <c r="B3" s="21" t="s">
        <v>100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7" t="s">
        <v>50</v>
      </c>
      <c r="Q3" s="21" t="s">
        <v>100</v>
      </c>
      <c r="R3" s="21"/>
      <c r="S3" s="21"/>
      <c r="T3" s="22"/>
      <c r="V3" s="7" t="s">
        <v>61</v>
      </c>
      <c r="W3" s="5">
        <v>3610</v>
      </c>
      <c r="X3" s="12">
        <v>100</v>
      </c>
      <c r="Y3" s="5">
        <v>0</v>
      </c>
      <c r="Z3" s="12">
        <v>0</v>
      </c>
      <c r="AA3" s="5">
        <v>0</v>
      </c>
      <c r="AB3" s="12">
        <v>0</v>
      </c>
      <c r="AC3" s="18">
        <v>0</v>
      </c>
      <c r="AD3" s="12">
        <v>0</v>
      </c>
      <c r="AE3" s="18">
        <v>0</v>
      </c>
      <c r="AF3" s="12">
        <v>0</v>
      </c>
      <c r="AG3" s="18">
        <v>0</v>
      </c>
      <c r="AH3" s="12">
        <v>0</v>
      </c>
      <c r="AI3" s="18">
        <v>0</v>
      </c>
      <c r="AJ3" s="12">
        <v>0</v>
      </c>
      <c r="AK3" s="7" t="s">
        <v>61</v>
      </c>
      <c r="AL3" s="18">
        <v>3.2579999999999998E-2</v>
      </c>
      <c r="AM3" s="5">
        <v>8.9999999999999998E-4</v>
      </c>
      <c r="AN3" s="18">
        <v>3620</v>
      </c>
      <c r="AO3" s="12">
        <v>100</v>
      </c>
    </row>
    <row r="4" spans="1:41" x14ac:dyDescent="0.2">
      <c r="A4" s="7" t="s">
        <v>51</v>
      </c>
      <c r="B4" s="18">
        <v>617233</v>
      </c>
      <c r="C4" s="12">
        <v>99.999099999999999</v>
      </c>
      <c r="D4" s="18">
        <v>0</v>
      </c>
      <c r="E4" s="12">
        <v>0</v>
      </c>
      <c r="F4" s="18">
        <v>6</v>
      </c>
      <c r="G4" s="5">
        <v>8.9999999999999998E-4</v>
      </c>
      <c r="H4" s="5">
        <v>0</v>
      </c>
      <c r="I4" s="12">
        <v>0</v>
      </c>
      <c r="J4" s="18">
        <v>0</v>
      </c>
      <c r="K4" s="12">
        <v>0</v>
      </c>
      <c r="L4" s="18">
        <v>0</v>
      </c>
      <c r="M4" s="12">
        <v>0</v>
      </c>
      <c r="N4" s="18">
        <v>0</v>
      </c>
      <c r="O4" s="12">
        <v>0</v>
      </c>
      <c r="P4" s="7" t="s">
        <v>51</v>
      </c>
      <c r="Q4" s="18">
        <v>6</v>
      </c>
      <c r="R4" s="5">
        <v>1.5E-3</v>
      </c>
      <c r="S4" s="18">
        <v>382824</v>
      </c>
      <c r="T4" s="5">
        <v>99.998500000000007</v>
      </c>
      <c r="V4" s="7" t="s">
        <v>62</v>
      </c>
      <c r="W4" s="5">
        <v>2050</v>
      </c>
      <c r="X4" s="12">
        <v>100</v>
      </c>
      <c r="Y4" s="5">
        <v>0</v>
      </c>
      <c r="Z4" s="12">
        <v>0</v>
      </c>
      <c r="AA4" s="5">
        <v>0</v>
      </c>
      <c r="AB4" s="12">
        <v>0</v>
      </c>
      <c r="AC4" s="18">
        <v>0</v>
      </c>
      <c r="AD4" s="12">
        <v>0</v>
      </c>
      <c r="AE4" s="18">
        <v>0</v>
      </c>
      <c r="AF4" s="12">
        <v>0</v>
      </c>
      <c r="AG4" s="18">
        <v>0</v>
      </c>
      <c r="AH4" s="12">
        <v>0</v>
      </c>
      <c r="AI4" s="18">
        <v>0</v>
      </c>
      <c r="AJ4" s="12">
        <v>0</v>
      </c>
      <c r="AK4" s="7" t="s">
        <v>62</v>
      </c>
      <c r="AL4" s="18">
        <v>6.0899999999999999E-3</v>
      </c>
      <c r="AM4" s="5">
        <v>2.9999999999999997E-4</v>
      </c>
      <c r="AN4" s="18">
        <v>2030</v>
      </c>
      <c r="AO4" s="5">
        <v>99.999700000000004</v>
      </c>
    </row>
    <row r="5" spans="1:41" x14ac:dyDescent="0.2">
      <c r="A5" s="7" t="s">
        <v>52</v>
      </c>
      <c r="B5" s="18">
        <v>483264</v>
      </c>
      <c r="C5" s="12">
        <v>99.999272000000005</v>
      </c>
      <c r="D5" s="18">
        <v>0</v>
      </c>
      <c r="E5" s="12">
        <v>0</v>
      </c>
      <c r="F5" s="18">
        <v>3</v>
      </c>
      <c r="G5" s="5">
        <v>6.9999999999999999E-4</v>
      </c>
      <c r="H5" s="5">
        <v>0</v>
      </c>
      <c r="I5" s="12">
        <v>0</v>
      </c>
      <c r="J5" s="18">
        <v>0</v>
      </c>
      <c r="K5" s="12">
        <v>0</v>
      </c>
      <c r="L5" s="18">
        <v>0</v>
      </c>
      <c r="M5" s="12">
        <v>0</v>
      </c>
      <c r="N5" s="18">
        <v>0</v>
      </c>
      <c r="O5" s="12">
        <v>0</v>
      </c>
      <c r="P5" s="7" t="s">
        <v>52</v>
      </c>
      <c r="Q5" s="18">
        <v>5</v>
      </c>
      <c r="R5" s="12">
        <v>1E-3</v>
      </c>
      <c r="S5" s="18">
        <v>483268</v>
      </c>
      <c r="T5" s="12">
        <v>99.998990000000006</v>
      </c>
      <c r="V5" s="7" t="s">
        <v>63</v>
      </c>
      <c r="W5" s="20" t="s">
        <v>100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2"/>
      <c r="AK5" s="7" t="s">
        <v>63</v>
      </c>
      <c r="AL5" s="20" t="s">
        <v>100</v>
      </c>
      <c r="AM5" s="21"/>
      <c r="AN5" s="21"/>
      <c r="AO5" s="22"/>
    </row>
    <row r="6" spans="1:41" s="11" customFormat="1" x14ac:dyDescent="0.2">
      <c r="A6" s="7"/>
      <c r="B6" s="18"/>
      <c r="C6" s="10"/>
      <c r="D6" s="18"/>
      <c r="E6" s="10"/>
      <c r="F6" s="18"/>
      <c r="G6" s="10"/>
      <c r="H6" s="5"/>
      <c r="I6" s="14"/>
      <c r="J6" s="23"/>
      <c r="K6" s="14"/>
      <c r="L6" s="23"/>
      <c r="M6" s="14"/>
      <c r="N6" s="23"/>
      <c r="O6" s="14"/>
      <c r="P6" s="7"/>
      <c r="Q6" s="18"/>
      <c r="R6" s="10"/>
      <c r="S6" s="18"/>
      <c r="T6" s="10"/>
      <c r="V6" s="7"/>
      <c r="W6" s="5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7"/>
      <c r="AL6" s="5"/>
      <c r="AM6" s="10"/>
      <c r="AN6" s="10"/>
      <c r="AO6" s="10"/>
    </row>
    <row r="7" spans="1:41" x14ac:dyDescent="0.2">
      <c r="A7" s="7" t="s">
        <v>55</v>
      </c>
      <c r="B7" s="18">
        <v>294614</v>
      </c>
      <c r="C7" s="12">
        <v>99.997563</v>
      </c>
      <c r="D7" s="18">
        <v>7</v>
      </c>
      <c r="E7" s="5">
        <v>2.3999999999999998E-3</v>
      </c>
      <c r="F7" s="18">
        <v>0</v>
      </c>
      <c r="G7" s="12">
        <v>0</v>
      </c>
      <c r="H7" s="5">
        <v>0</v>
      </c>
      <c r="I7" s="12">
        <v>0</v>
      </c>
      <c r="J7" s="18">
        <v>0</v>
      </c>
      <c r="K7" s="12">
        <v>0</v>
      </c>
      <c r="L7" s="18">
        <v>0</v>
      </c>
      <c r="M7" s="12">
        <v>0</v>
      </c>
      <c r="N7" s="18">
        <v>0</v>
      </c>
      <c r="O7" s="12">
        <v>0</v>
      </c>
      <c r="P7" s="7" t="s">
        <v>55</v>
      </c>
      <c r="Q7" s="18">
        <v>21</v>
      </c>
      <c r="R7" s="5">
        <v>7.1999999999999998E-3</v>
      </c>
      <c r="S7" s="18">
        <v>294605</v>
      </c>
      <c r="T7" s="12">
        <v>99.992804000000007</v>
      </c>
      <c r="V7" s="7" t="s">
        <v>64</v>
      </c>
      <c r="W7" s="18">
        <v>738477</v>
      </c>
      <c r="X7" s="12">
        <v>99.998671999999999</v>
      </c>
      <c r="Y7" s="18">
        <v>10</v>
      </c>
      <c r="Z7" s="5">
        <v>1.2999999999999999E-3</v>
      </c>
      <c r="AA7" s="5">
        <v>0</v>
      </c>
      <c r="AB7" s="12">
        <v>0</v>
      </c>
      <c r="AC7" s="18">
        <v>0</v>
      </c>
      <c r="AD7" s="12">
        <v>0</v>
      </c>
      <c r="AE7" s="18">
        <v>0</v>
      </c>
      <c r="AF7" s="12">
        <v>0</v>
      </c>
      <c r="AG7" s="18">
        <v>0</v>
      </c>
      <c r="AH7" s="12">
        <v>0</v>
      </c>
      <c r="AI7" s="18">
        <v>0</v>
      </c>
      <c r="AJ7" s="12">
        <v>0</v>
      </c>
      <c r="AK7" s="7" t="s">
        <v>64</v>
      </c>
      <c r="AL7" s="18">
        <v>12</v>
      </c>
      <c r="AM7" s="5">
        <v>4.4999999999999997E-3</v>
      </c>
      <c r="AN7" s="18">
        <v>261743</v>
      </c>
      <c r="AO7" s="12">
        <v>99.995530000000002</v>
      </c>
    </row>
    <row r="8" spans="1:41" x14ac:dyDescent="0.2">
      <c r="A8" s="7" t="s">
        <v>53</v>
      </c>
      <c r="B8" s="18">
        <v>284212</v>
      </c>
      <c r="C8" s="12">
        <v>99.997563</v>
      </c>
      <c r="D8" s="18">
        <v>7</v>
      </c>
      <c r="E8" s="5">
        <v>2.3999999999999998E-3</v>
      </c>
      <c r="F8" s="18">
        <v>0</v>
      </c>
      <c r="G8" s="12">
        <v>0</v>
      </c>
      <c r="H8" s="5">
        <v>0</v>
      </c>
      <c r="I8" s="12">
        <v>0</v>
      </c>
      <c r="J8" s="18">
        <v>0</v>
      </c>
      <c r="K8" s="12">
        <v>0</v>
      </c>
      <c r="L8" s="18">
        <v>0</v>
      </c>
      <c r="M8" s="12">
        <v>0</v>
      </c>
      <c r="N8" s="18">
        <v>0</v>
      </c>
      <c r="O8" s="12">
        <v>0</v>
      </c>
      <c r="P8" s="7" t="s">
        <v>53</v>
      </c>
      <c r="Q8" s="18">
        <v>4</v>
      </c>
      <c r="R8" s="5">
        <v>1.2999999999999999E-3</v>
      </c>
      <c r="S8" s="18">
        <v>284225</v>
      </c>
      <c r="T8" s="12">
        <v>99.998738700000004</v>
      </c>
      <c r="V8" s="7" t="s">
        <v>65</v>
      </c>
      <c r="W8" s="18" t="s">
        <v>100</v>
      </c>
      <c r="X8" s="48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4"/>
      <c r="AK8" s="7" t="s">
        <v>65</v>
      </c>
      <c r="AL8" s="19" t="s">
        <v>100</v>
      </c>
      <c r="AM8" s="48"/>
      <c r="AN8" s="43"/>
      <c r="AO8" s="44"/>
    </row>
    <row r="9" spans="1:41" x14ac:dyDescent="0.2">
      <c r="A9" s="7" t="s">
        <v>54</v>
      </c>
      <c r="B9" s="18">
        <v>294170</v>
      </c>
      <c r="C9" s="12">
        <v>99.999234999999999</v>
      </c>
      <c r="D9" s="18">
        <v>0</v>
      </c>
      <c r="E9" s="12">
        <v>0</v>
      </c>
      <c r="F9" s="18">
        <v>2</v>
      </c>
      <c r="G9" s="5">
        <v>8.0000000000000004E-4</v>
      </c>
      <c r="H9" s="5">
        <v>0</v>
      </c>
      <c r="I9" s="12">
        <v>0</v>
      </c>
      <c r="J9" s="18">
        <v>0</v>
      </c>
      <c r="K9" s="12">
        <v>0</v>
      </c>
      <c r="L9" s="18">
        <v>0</v>
      </c>
      <c r="M9" s="12">
        <v>0</v>
      </c>
      <c r="N9" s="18">
        <v>0</v>
      </c>
      <c r="O9" s="12">
        <v>0</v>
      </c>
      <c r="P9" s="7" t="s">
        <v>54</v>
      </c>
      <c r="Q9" s="18">
        <v>5</v>
      </c>
      <c r="R9" s="5">
        <v>1.6999999999999999E-3</v>
      </c>
      <c r="S9" s="18">
        <v>294148</v>
      </c>
      <c r="T9" s="12">
        <v>99.998347999999993</v>
      </c>
      <c r="V9" s="7" t="s">
        <v>66</v>
      </c>
      <c r="W9" s="18">
        <v>819361</v>
      </c>
      <c r="X9" s="5">
        <v>99.998800000000003</v>
      </c>
      <c r="Y9" s="18">
        <v>10</v>
      </c>
      <c r="Z9" s="5">
        <v>1.1999999999999999E-3</v>
      </c>
      <c r="AA9" s="5">
        <v>0</v>
      </c>
      <c r="AB9" s="12">
        <v>0</v>
      </c>
      <c r="AC9" s="18">
        <v>0</v>
      </c>
      <c r="AD9" s="12">
        <v>0</v>
      </c>
      <c r="AE9" s="18">
        <v>0</v>
      </c>
      <c r="AF9" s="12">
        <v>0</v>
      </c>
      <c r="AG9" s="18">
        <v>0</v>
      </c>
      <c r="AH9" s="12">
        <v>0</v>
      </c>
      <c r="AI9" s="18">
        <v>0</v>
      </c>
      <c r="AJ9" s="12">
        <v>0</v>
      </c>
      <c r="AK9" s="7" t="s">
        <v>66</v>
      </c>
      <c r="AL9" s="5">
        <v>0</v>
      </c>
      <c r="AM9" s="12">
        <v>0</v>
      </c>
      <c r="AN9" s="18">
        <v>180805</v>
      </c>
      <c r="AO9" s="12">
        <v>100</v>
      </c>
    </row>
    <row r="10" spans="1:41" x14ac:dyDescent="0.2">
      <c r="A10" s="7"/>
      <c r="B10" s="18"/>
      <c r="C10" s="5"/>
      <c r="D10" s="18"/>
      <c r="E10" s="13"/>
      <c r="F10" s="18"/>
      <c r="G10" s="5"/>
      <c r="H10" s="5"/>
      <c r="I10" s="12"/>
      <c r="J10" s="18"/>
      <c r="K10" s="12"/>
      <c r="L10" s="18"/>
      <c r="M10" s="12"/>
      <c r="N10" s="18"/>
      <c r="O10" s="12"/>
      <c r="P10" s="7"/>
      <c r="Q10" s="18"/>
      <c r="R10" s="5"/>
      <c r="S10" s="18"/>
      <c r="T10" s="5"/>
      <c r="V10" s="7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7"/>
      <c r="AL10" s="5"/>
      <c r="AM10" s="5"/>
      <c r="AN10" s="5"/>
      <c r="AO10" s="5"/>
    </row>
    <row r="11" spans="1:41" x14ac:dyDescent="0.2">
      <c r="A11" s="7" t="s">
        <v>56</v>
      </c>
      <c r="B11" s="18">
        <v>312052</v>
      </c>
      <c r="C11" s="12">
        <v>99.997645000000006</v>
      </c>
      <c r="D11" s="18">
        <v>0</v>
      </c>
      <c r="E11" s="12">
        <v>0</v>
      </c>
      <c r="F11" s="18">
        <v>7</v>
      </c>
      <c r="G11" s="5">
        <v>2.3999999999999998E-3</v>
      </c>
      <c r="H11" s="5">
        <v>0</v>
      </c>
      <c r="I11" s="12">
        <v>0</v>
      </c>
      <c r="J11" s="18">
        <v>0</v>
      </c>
      <c r="K11" s="12">
        <v>0</v>
      </c>
      <c r="L11" s="18">
        <v>0</v>
      </c>
      <c r="M11" s="12">
        <v>0</v>
      </c>
      <c r="N11" s="18">
        <v>0</v>
      </c>
      <c r="O11" s="12">
        <v>0</v>
      </c>
      <c r="P11" s="7" t="s">
        <v>56</v>
      </c>
      <c r="Q11" s="18">
        <v>25</v>
      </c>
      <c r="R11" s="12">
        <v>8.0000000000000002E-3</v>
      </c>
      <c r="S11" s="18">
        <v>312046</v>
      </c>
      <c r="T11" s="12">
        <v>99.991999000000007</v>
      </c>
      <c r="V11" s="7" t="s">
        <v>67</v>
      </c>
      <c r="W11" s="18">
        <v>703462</v>
      </c>
      <c r="X11" s="12">
        <v>99.998863999999998</v>
      </c>
      <c r="Y11" s="18">
        <v>8</v>
      </c>
      <c r="Z11" s="5">
        <v>1.1000000000000001E-3</v>
      </c>
      <c r="AA11" s="5">
        <v>0</v>
      </c>
      <c r="AB11" s="12">
        <v>0</v>
      </c>
      <c r="AC11" s="18">
        <v>0</v>
      </c>
      <c r="AD11" s="12">
        <v>0</v>
      </c>
      <c r="AE11" s="18">
        <v>0</v>
      </c>
      <c r="AF11" s="12">
        <v>0</v>
      </c>
      <c r="AG11" s="18">
        <v>0</v>
      </c>
      <c r="AH11" s="12">
        <v>0</v>
      </c>
      <c r="AI11" s="18">
        <v>0</v>
      </c>
      <c r="AJ11" s="12">
        <v>0</v>
      </c>
      <c r="AK11" s="7" t="s">
        <v>67</v>
      </c>
      <c r="AL11" s="5">
        <v>0</v>
      </c>
      <c r="AM11" s="12">
        <v>0</v>
      </c>
      <c r="AN11" s="18">
        <v>296679</v>
      </c>
      <c r="AO11" s="12">
        <v>100</v>
      </c>
    </row>
    <row r="12" spans="1:41" x14ac:dyDescent="0.2">
      <c r="A12" s="7" t="s">
        <v>75</v>
      </c>
      <c r="B12" s="18">
        <v>316218</v>
      </c>
      <c r="C12" s="12">
        <v>99.999206000000001</v>
      </c>
      <c r="D12" s="18">
        <v>0</v>
      </c>
      <c r="E12" s="12">
        <v>0</v>
      </c>
      <c r="F12" s="18">
        <v>3</v>
      </c>
      <c r="G12" s="5">
        <v>8.0000000000000004E-4</v>
      </c>
      <c r="H12" s="5">
        <v>0</v>
      </c>
      <c r="I12" s="12">
        <v>0</v>
      </c>
      <c r="J12" s="18">
        <v>0</v>
      </c>
      <c r="K12" s="12">
        <v>0</v>
      </c>
      <c r="L12" s="18">
        <v>0</v>
      </c>
      <c r="M12" s="12">
        <v>0</v>
      </c>
      <c r="N12" s="18">
        <v>0</v>
      </c>
      <c r="O12" s="12">
        <v>0</v>
      </c>
      <c r="P12" s="7" t="s">
        <v>75</v>
      </c>
      <c r="Q12" s="18">
        <v>6</v>
      </c>
      <c r="R12" s="5">
        <v>1.9E-3</v>
      </c>
      <c r="S12" s="18">
        <v>316210</v>
      </c>
      <c r="T12" s="12">
        <v>99.998086999999998</v>
      </c>
      <c r="V12" s="7" t="s">
        <v>79</v>
      </c>
      <c r="W12" s="5">
        <v>700713</v>
      </c>
      <c r="X12" s="12">
        <v>100</v>
      </c>
      <c r="Y12" s="18">
        <v>0</v>
      </c>
      <c r="Z12" s="12">
        <v>0</v>
      </c>
      <c r="AA12" s="5">
        <v>0</v>
      </c>
      <c r="AB12" s="12">
        <v>0</v>
      </c>
      <c r="AC12" s="18">
        <v>0</v>
      </c>
      <c r="AD12" s="12">
        <v>0</v>
      </c>
      <c r="AE12" s="18">
        <v>0</v>
      </c>
      <c r="AF12" s="12">
        <v>0</v>
      </c>
      <c r="AG12" s="18">
        <v>0</v>
      </c>
      <c r="AH12" s="12">
        <v>0</v>
      </c>
      <c r="AI12" s="18">
        <v>0</v>
      </c>
      <c r="AJ12" s="12">
        <v>0</v>
      </c>
      <c r="AK12" s="7" t="s">
        <v>79</v>
      </c>
      <c r="AL12" s="5">
        <v>0</v>
      </c>
      <c r="AM12" s="12">
        <v>0</v>
      </c>
      <c r="AN12" s="18">
        <v>299393</v>
      </c>
      <c r="AO12" s="12">
        <v>100</v>
      </c>
    </row>
    <row r="13" spans="1:41" x14ac:dyDescent="0.2">
      <c r="A13" s="7" t="s">
        <v>77</v>
      </c>
      <c r="B13" s="18">
        <v>323083</v>
      </c>
      <c r="C13" s="12">
        <v>99.998925999999997</v>
      </c>
      <c r="D13" s="18">
        <v>0</v>
      </c>
      <c r="E13" s="12">
        <v>0</v>
      </c>
      <c r="F13" s="18">
        <v>4</v>
      </c>
      <c r="G13" s="5">
        <v>1.1000000000000001E-3</v>
      </c>
      <c r="H13" s="5">
        <v>0</v>
      </c>
      <c r="I13" s="12">
        <v>0</v>
      </c>
      <c r="J13" s="18">
        <v>0</v>
      </c>
      <c r="K13" s="12">
        <v>0</v>
      </c>
      <c r="L13" s="18">
        <v>0</v>
      </c>
      <c r="M13" s="12">
        <v>0</v>
      </c>
      <c r="N13" s="18">
        <v>0</v>
      </c>
      <c r="O13" s="12">
        <v>0</v>
      </c>
      <c r="P13" s="7" t="s">
        <v>77</v>
      </c>
      <c r="Q13" s="18">
        <v>7</v>
      </c>
      <c r="R13" s="5">
        <v>2.2000000000000001E-3</v>
      </c>
      <c r="S13" s="18">
        <v>323079</v>
      </c>
      <c r="T13" s="12">
        <v>99.997789999999995</v>
      </c>
      <c r="V13" s="7" t="s">
        <v>81</v>
      </c>
      <c r="W13" s="5" t="s">
        <v>100</v>
      </c>
      <c r="X13" s="48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4"/>
      <c r="AK13" s="7" t="s">
        <v>81</v>
      </c>
      <c r="AL13" s="19" t="s">
        <v>100</v>
      </c>
      <c r="AM13" s="48"/>
      <c r="AN13" s="43"/>
      <c r="AO13" s="44"/>
    </row>
    <row r="14" spans="1:41" x14ac:dyDescent="0.2">
      <c r="A14" s="7"/>
      <c r="B14" s="18"/>
      <c r="C14" s="5"/>
      <c r="D14" s="18"/>
      <c r="E14" s="12"/>
      <c r="F14" s="18"/>
      <c r="G14" s="5"/>
      <c r="H14" s="5"/>
      <c r="I14" s="12"/>
      <c r="J14" s="18"/>
      <c r="K14" s="12"/>
      <c r="L14" s="18"/>
      <c r="M14" s="12"/>
      <c r="N14" s="18"/>
      <c r="O14" s="12"/>
      <c r="P14" s="7"/>
      <c r="Q14" s="18"/>
      <c r="R14" s="5"/>
      <c r="S14" s="18"/>
      <c r="T14" s="5"/>
      <c r="V14" s="7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7"/>
      <c r="AL14" s="5"/>
      <c r="AM14" s="5"/>
      <c r="AN14" s="5"/>
      <c r="AO14" s="5"/>
    </row>
    <row r="15" spans="1:41" x14ac:dyDescent="0.2">
      <c r="A15" s="7" t="s">
        <v>58</v>
      </c>
      <c r="B15" s="18">
        <v>310409</v>
      </c>
      <c r="C15" s="12">
        <v>99.998096000000004</v>
      </c>
      <c r="D15" s="18">
        <v>0</v>
      </c>
      <c r="E15" s="12">
        <v>0</v>
      </c>
      <c r="F15" s="18">
        <v>6</v>
      </c>
      <c r="G15" s="5">
        <v>1.9E-3</v>
      </c>
      <c r="H15" s="5">
        <v>0</v>
      </c>
      <c r="I15" s="12">
        <v>0</v>
      </c>
      <c r="J15" s="18">
        <v>0</v>
      </c>
      <c r="K15" s="12">
        <v>0</v>
      </c>
      <c r="L15" s="18">
        <v>0</v>
      </c>
      <c r="M15" s="12">
        <v>0</v>
      </c>
      <c r="N15" s="18">
        <v>0</v>
      </c>
      <c r="O15" s="12">
        <v>0</v>
      </c>
      <c r="P15" s="7" t="s">
        <v>58</v>
      </c>
      <c r="Q15" s="18">
        <v>17</v>
      </c>
      <c r="R15" s="12">
        <v>5.4999999999999997E-3</v>
      </c>
      <c r="S15" s="18">
        <v>310399</v>
      </c>
      <c r="T15" s="12">
        <v>99.994484999999997</v>
      </c>
      <c r="V15" s="7" t="s">
        <v>69</v>
      </c>
      <c r="W15" s="5">
        <v>625521</v>
      </c>
      <c r="X15" s="12">
        <v>100</v>
      </c>
      <c r="Y15" s="18">
        <v>0</v>
      </c>
      <c r="Z15" s="12">
        <v>0</v>
      </c>
      <c r="AA15" s="18">
        <v>0</v>
      </c>
      <c r="AB15" s="12">
        <v>0</v>
      </c>
      <c r="AC15" s="18">
        <v>0</v>
      </c>
      <c r="AD15" s="12">
        <v>0</v>
      </c>
      <c r="AE15" s="18">
        <v>0</v>
      </c>
      <c r="AF15" s="12">
        <v>0</v>
      </c>
      <c r="AG15" s="18">
        <v>0</v>
      </c>
      <c r="AH15" s="12">
        <v>0</v>
      </c>
      <c r="AI15" s="18">
        <v>0</v>
      </c>
      <c r="AJ15" s="12">
        <v>0</v>
      </c>
      <c r="AK15" s="7" t="s">
        <v>69</v>
      </c>
      <c r="AL15" s="5">
        <v>0</v>
      </c>
      <c r="AM15" s="12">
        <v>0</v>
      </c>
      <c r="AN15" s="18">
        <v>374700</v>
      </c>
      <c r="AO15" s="12">
        <v>100</v>
      </c>
    </row>
    <row r="16" spans="1:41" x14ac:dyDescent="0.2">
      <c r="A16" s="7" t="s">
        <v>59</v>
      </c>
      <c r="B16" s="18">
        <v>315032</v>
      </c>
      <c r="C16" s="12">
        <v>99.997876000000005</v>
      </c>
      <c r="D16" s="18">
        <v>0</v>
      </c>
      <c r="E16" s="12">
        <v>0</v>
      </c>
      <c r="F16" s="18">
        <v>7</v>
      </c>
      <c r="G16" s="5">
        <v>2.0999999999999999E-3</v>
      </c>
      <c r="H16" s="5">
        <v>0</v>
      </c>
      <c r="I16" s="12">
        <v>0</v>
      </c>
      <c r="J16" s="18">
        <v>0</v>
      </c>
      <c r="K16" s="12">
        <v>0</v>
      </c>
      <c r="L16" s="18">
        <v>0</v>
      </c>
      <c r="M16" s="12">
        <v>0</v>
      </c>
      <c r="N16" s="18">
        <v>0</v>
      </c>
      <c r="O16" s="12">
        <v>0</v>
      </c>
      <c r="P16" s="7" t="s">
        <v>59</v>
      </c>
      <c r="Q16" s="18">
        <v>23</v>
      </c>
      <c r="R16" s="12">
        <v>7.1999999999999998E-3</v>
      </c>
      <c r="S16" s="18">
        <v>315020</v>
      </c>
      <c r="T16" s="12">
        <v>99.992782000000005</v>
      </c>
      <c r="V16" s="7" t="s">
        <v>70</v>
      </c>
      <c r="W16" s="18">
        <v>623313</v>
      </c>
      <c r="X16" s="5">
        <v>99.998699999999999</v>
      </c>
      <c r="Y16" s="18">
        <v>8</v>
      </c>
      <c r="Z16" s="12">
        <v>1.2669999999999999E-3</v>
      </c>
      <c r="AA16" s="18">
        <v>0</v>
      </c>
      <c r="AB16" s="12">
        <v>0</v>
      </c>
      <c r="AC16" s="18">
        <v>0</v>
      </c>
      <c r="AD16" s="12">
        <v>0</v>
      </c>
      <c r="AE16" s="18">
        <v>0</v>
      </c>
      <c r="AF16" s="12">
        <v>0</v>
      </c>
      <c r="AG16" s="18">
        <v>0</v>
      </c>
      <c r="AH16" s="12">
        <v>0</v>
      </c>
      <c r="AI16" s="18">
        <v>0</v>
      </c>
      <c r="AJ16" s="12">
        <v>0</v>
      </c>
      <c r="AK16" s="7" t="s">
        <v>70</v>
      </c>
      <c r="AL16" s="5">
        <v>0</v>
      </c>
      <c r="AM16" s="12">
        <v>0</v>
      </c>
      <c r="AN16" s="18">
        <v>376782</v>
      </c>
      <c r="AO16" s="12">
        <v>100</v>
      </c>
    </row>
    <row r="17" spans="1:41" x14ac:dyDescent="0.2">
      <c r="A17" s="7" t="s">
        <v>60</v>
      </c>
      <c r="B17" s="18">
        <v>319349</v>
      </c>
      <c r="C17" s="12">
        <v>99.993881999999999</v>
      </c>
      <c r="D17" s="18">
        <v>0</v>
      </c>
      <c r="E17" s="12">
        <v>0</v>
      </c>
      <c r="F17" s="18">
        <v>19</v>
      </c>
      <c r="G17" s="5">
        <v>6.1000000000000004E-3</v>
      </c>
      <c r="H17" s="5">
        <v>0</v>
      </c>
      <c r="I17" s="12">
        <v>0</v>
      </c>
      <c r="J17" s="18">
        <v>0</v>
      </c>
      <c r="K17" s="12">
        <v>0</v>
      </c>
      <c r="L17" s="18">
        <v>0</v>
      </c>
      <c r="M17" s="12">
        <v>0</v>
      </c>
      <c r="N17" s="18">
        <v>0</v>
      </c>
      <c r="O17" s="12">
        <v>0</v>
      </c>
      <c r="P17" s="7" t="s">
        <v>60</v>
      </c>
      <c r="Q17" s="18">
        <v>26</v>
      </c>
      <c r="R17" s="12">
        <v>8.2000000000000007E-3</v>
      </c>
      <c r="S17" s="18">
        <v>319356</v>
      </c>
      <c r="T17" s="12">
        <v>99.991799</v>
      </c>
      <c r="V17" s="7" t="s">
        <v>68</v>
      </c>
      <c r="W17" s="21" t="s">
        <v>100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  <c r="AK17" s="7" t="s">
        <v>68</v>
      </c>
      <c r="AL17" s="43" t="s">
        <v>100</v>
      </c>
      <c r="AM17" s="43"/>
      <c r="AN17" s="43"/>
      <c r="AO17" s="44"/>
    </row>
    <row r="18" spans="1:41" x14ac:dyDescent="0.2">
      <c r="P18" s="8"/>
      <c r="Q18" s="8"/>
    </row>
    <row r="19" spans="1:41" ht="30" customHeight="1" x14ac:dyDescent="0.25">
      <c r="A19" s="46" t="s">
        <v>139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V19" s="45" t="s">
        <v>139</v>
      </c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7"/>
    </row>
    <row r="20" spans="1:41" x14ac:dyDescent="0.2">
      <c r="A20" s="7" t="s">
        <v>49</v>
      </c>
      <c r="B20" s="5" t="s">
        <v>85</v>
      </c>
      <c r="C20" s="5" t="s">
        <v>105</v>
      </c>
      <c r="D20" s="5" t="s">
        <v>87</v>
      </c>
      <c r="E20" s="5" t="s">
        <v>107</v>
      </c>
      <c r="F20" s="5" t="s">
        <v>89</v>
      </c>
      <c r="G20" s="5" t="s">
        <v>109</v>
      </c>
      <c r="H20" s="5" t="s">
        <v>91</v>
      </c>
      <c r="I20" s="5" t="s">
        <v>111</v>
      </c>
      <c r="J20" s="5" t="s">
        <v>93</v>
      </c>
      <c r="K20" s="5" t="s">
        <v>113</v>
      </c>
      <c r="L20" s="5" t="s">
        <v>95</v>
      </c>
      <c r="M20" s="5" t="s">
        <v>115</v>
      </c>
      <c r="N20" s="5" t="s">
        <v>97</v>
      </c>
      <c r="O20" s="5" t="s">
        <v>117</v>
      </c>
      <c r="P20" s="7" t="s">
        <v>49</v>
      </c>
      <c r="Q20" s="5" t="s">
        <v>101</v>
      </c>
      <c r="R20" s="5" t="s">
        <v>119</v>
      </c>
      <c r="S20" s="5" t="s">
        <v>103</v>
      </c>
      <c r="T20" s="5" t="s">
        <v>121</v>
      </c>
      <c r="V20" s="7" t="s">
        <v>49</v>
      </c>
      <c r="W20" s="5" t="s">
        <v>86</v>
      </c>
      <c r="X20" s="5" t="s">
        <v>106</v>
      </c>
      <c r="Y20" s="5" t="s">
        <v>88</v>
      </c>
      <c r="Z20" s="5" t="s">
        <v>108</v>
      </c>
      <c r="AA20" s="5" t="s">
        <v>90</v>
      </c>
      <c r="AB20" s="5" t="s">
        <v>110</v>
      </c>
      <c r="AC20" s="5" t="s">
        <v>92</v>
      </c>
      <c r="AD20" s="5" t="s">
        <v>112</v>
      </c>
      <c r="AE20" s="5" t="s">
        <v>94</v>
      </c>
      <c r="AF20" s="5" t="s">
        <v>114</v>
      </c>
      <c r="AG20" s="5" t="s">
        <v>96</v>
      </c>
      <c r="AH20" s="5" t="s">
        <v>116</v>
      </c>
      <c r="AI20" s="5" t="s">
        <v>98</v>
      </c>
      <c r="AJ20" s="5" t="s">
        <v>118</v>
      </c>
      <c r="AK20" s="7" t="s">
        <v>49</v>
      </c>
      <c r="AL20" s="5" t="s">
        <v>101</v>
      </c>
      <c r="AM20" s="5" t="s">
        <v>119</v>
      </c>
      <c r="AN20" s="5" t="s">
        <v>103</v>
      </c>
      <c r="AO20" s="5" t="s">
        <v>121</v>
      </c>
    </row>
    <row r="21" spans="1:41" x14ac:dyDescent="0.2">
      <c r="A21" s="7" t="s">
        <v>50</v>
      </c>
      <c r="B21" s="21" t="s">
        <v>100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7" t="s">
        <v>50</v>
      </c>
      <c r="Q21" s="21" t="s">
        <v>100</v>
      </c>
      <c r="R21" s="21"/>
      <c r="S21" s="21"/>
      <c r="T21" s="22"/>
      <c r="V21" s="7" t="s">
        <v>61</v>
      </c>
      <c r="W21" s="18">
        <v>424219</v>
      </c>
      <c r="X21" s="12">
        <v>99.998238999999998</v>
      </c>
      <c r="Y21" s="18">
        <v>7</v>
      </c>
      <c r="Z21" s="12">
        <v>1.7610000000000501E-3</v>
      </c>
      <c r="AA21" s="18">
        <v>0</v>
      </c>
      <c r="AB21" s="12">
        <v>0</v>
      </c>
      <c r="AC21" s="18">
        <v>0</v>
      </c>
      <c r="AD21" s="12">
        <v>0</v>
      </c>
      <c r="AE21" s="18">
        <v>0</v>
      </c>
      <c r="AF21" s="12">
        <v>0</v>
      </c>
      <c r="AG21" s="18">
        <v>0</v>
      </c>
      <c r="AH21" s="12">
        <v>0</v>
      </c>
      <c r="AI21" s="18">
        <v>0</v>
      </c>
      <c r="AJ21" s="12">
        <v>0</v>
      </c>
      <c r="AK21" s="7" t="s">
        <v>61</v>
      </c>
      <c r="AL21" s="18">
        <v>420366</v>
      </c>
      <c r="AM21" s="12">
        <v>99.09447999999999</v>
      </c>
      <c r="AN21" s="18">
        <v>3841</v>
      </c>
      <c r="AO21" s="12">
        <v>0.90552000000000987</v>
      </c>
    </row>
    <row r="22" spans="1:41" x14ac:dyDescent="0.2">
      <c r="A22" s="7" t="s">
        <v>51</v>
      </c>
      <c r="B22" s="18">
        <v>661832</v>
      </c>
      <c r="C22" s="12">
        <v>99.998861000000005</v>
      </c>
      <c r="D22" s="18">
        <v>8</v>
      </c>
      <c r="E22" s="12">
        <v>1.139E-3</v>
      </c>
      <c r="F22" s="18">
        <v>0</v>
      </c>
      <c r="G22" s="12">
        <v>0</v>
      </c>
      <c r="H22" s="18">
        <v>0</v>
      </c>
      <c r="I22" s="12">
        <v>0</v>
      </c>
      <c r="J22" s="18">
        <v>0</v>
      </c>
      <c r="K22" s="12">
        <v>0</v>
      </c>
      <c r="L22" s="18">
        <v>0</v>
      </c>
      <c r="M22" s="12">
        <v>0</v>
      </c>
      <c r="N22" s="18">
        <v>0</v>
      </c>
      <c r="O22" s="12">
        <v>0</v>
      </c>
      <c r="P22" s="7" t="s">
        <v>51</v>
      </c>
      <c r="Q22" s="18">
        <v>331573</v>
      </c>
      <c r="R22" s="12">
        <v>98.009497999999994</v>
      </c>
      <c r="S22" s="18">
        <v>6734</v>
      </c>
      <c r="T22" s="12">
        <v>1.9905020000000064</v>
      </c>
      <c r="V22" s="7" t="s">
        <v>62</v>
      </c>
      <c r="W22" s="18">
        <v>223945</v>
      </c>
      <c r="X22" s="12">
        <v>99.992050000000006</v>
      </c>
      <c r="Y22" s="18">
        <v>18</v>
      </c>
      <c r="Z22" s="5">
        <v>7.9000000000000008E-3</v>
      </c>
      <c r="AA22" s="18">
        <v>0</v>
      </c>
      <c r="AB22" s="12">
        <v>0</v>
      </c>
      <c r="AC22" s="18">
        <v>0</v>
      </c>
      <c r="AD22" s="12">
        <v>0</v>
      </c>
      <c r="AE22" s="18">
        <v>0</v>
      </c>
      <c r="AF22" s="12">
        <v>0</v>
      </c>
      <c r="AG22" s="18">
        <v>0</v>
      </c>
      <c r="AH22" s="12">
        <v>0</v>
      </c>
      <c r="AI22" s="18">
        <v>0</v>
      </c>
      <c r="AJ22" s="12">
        <v>0</v>
      </c>
      <c r="AK22" s="7" t="s">
        <v>62</v>
      </c>
      <c r="AL22" s="18">
        <v>219506</v>
      </c>
      <c r="AM22" s="12">
        <v>98.009509299999991</v>
      </c>
      <c r="AN22" s="18">
        <v>4458</v>
      </c>
      <c r="AO22" s="12">
        <v>1.9904907000000094</v>
      </c>
    </row>
    <row r="23" spans="1:41" x14ac:dyDescent="0.2">
      <c r="A23" s="7" t="s">
        <v>52</v>
      </c>
      <c r="B23" s="18">
        <v>634818</v>
      </c>
      <c r="C23" s="12">
        <v>99.998633999999996</v>
      </c>
      <c r="D23" s="18">
        <v>9</v>
      </c>
      <c r="E23" s="12">
        <v>1.366E-3</v>
      </c>
      <c r="F23" s="18">
        <v>0</v>
      </c>
      <c r="G23" s="12">
        <v>0</v>
      </c>
      <c r="H23" s="18">
        <v>0</v>
      </c>
      <c r="I23" s="12">
        <v>0</v>
      </c>
      <c r="J23" s="18">
        <v>0</v>
      </c>
      <c r="K23" s="12">
        <v>0</v>
      </c>
      <c r="L23" s="18">
        <v>0</v>
      </c>
      <c r="M23" s="12">
        <v>0</v>
      </c>
      <c r="N23" s="18">
        <v>0</v>
      </c>
      <c r="O23" s="12">
        <v>0</v>
      </c>
      <c r="P23" s="7" t="s">
        <v>52</v>
      </c>
      <c r="Q23" s="18">
        <v>359248</v>
      </c>
      <c r="R23" s="12">
        <v>98.346999999999994</v>
      </c>
      <c r="S23" s="18">
        <v>6038</v>
      </c>
      <c r="T23" s="12">
        <v>1.6530000000000058</v>
      </c>
      <c r="V23" s="7" t="s">
        <v>63</v>
      </c>
      <c r="W23" s="18">
        <v>639618</v>
      </c>
      <c r="X23" s="12">
        <v>100</v>
      </c>
      <c r="Y23" s="18">
        <v>0</v>
      </c>
      <c r="Z23" s="12">
        <v>0</v>
      </c>
      <c r="AA23" s="18">
        <v>0</v>
      </c>
      <c r="AB23" s="12">
        <v>0</v>
      </c>
      <c r="AC23" s="18">
        <v>0</v>
      </c>
      <c r="AD23" s="12">
        <v>0</v>
      </c>
      <c r="AE23" s="18">
        <v>0</v>
      </c>
      <c r="AF23" s="12">
        <v>0</v>
      </c>
      <c r="AG23" s="18">
        <v>0</v>
      </c>
      <c r="AH23" s="12">
        <v>0</v>
      </c>
      <c r="AI23" s="18">
        <v>0</v>
      </c>
      <c r="AJ23" s="12">
        <v>0</v>
      </c>
      <c r="AK23" s="7" t="s">
        <v>63</v>
      </c>
      <c r="AL23" s="18">
        <v>356899</v>
      </c>
      <c r="AM23" s="12">
        <v>99.009214999999998</v>
      </c>
      <c r="AN23" s="18">
        <v>3571</v>
      </c>
      <c r="AO23" s="12">
        <v>0.99078500000000247</v>
      </c>
    </row>
    <row r="24" spans="1:41" x14ac:dyDescent="0.2">
      <c r="A24" s="7"/>
      <c r="B24" s="5"/>
      <c r="C24" s="5"/>
      <c r="D24" s="5"/>
      <c r="E24" s="5"/>
      <c r="F24" s="12"/>
      <c r="G24" s="5"/>
      <c r="H24" s="5"/>
      <c r="I24" s="5"/>
      <c r="J24" s="5"/>
      <c r="K24" s="5"/>
      <c r="L24" s="5"/>
      <c r="M24" s="5"/>
      <c r="N24" s="5"/>
      <c r="O24" s="5"/>
      <c r="P24" s="7"/>
      <c r="Q24" s="5"/>
      <c r="R24" s="5"/>
      <c r="S24" s="5"/>
      <c r="T24" s="5"/>
      <c r="V24" s="7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7"/>
      <c r="AL24" s="5"/>
      <c r="AM24" s="5"/>
      <c r="AN24" s="5"/>
      <c r="AO24" s="5"/>
    </row>
    <row r="25" spans="1:41" x14ac:dyDescent="0.2">
      <c r="A25" s="7" t="s">
        <v>55</v>
      </c>
      <c r="B25" s="18">
        <v>49311</v>
      </c>
      <c r="C25" s="12">
        <v>99.994132800000003</v>
      </c>
      <c r="D25" s="18">
        <v>3</v>
      </c>
      <c r="E25" s="12">
        <v>5.8672000000000004E-3</v>
      </c>
      <c r="F25" s="18">
        <v>0</v>
      </c>
      <c r="G25" s="12">
        <v>0</v>
      </c>
      <c r="H25" s="18">
        <v>0</v>
      </c>
      <c r="I25" s="12">
        <v>0</v>
      </c>
      <c r="J25" s="18">
        <v>0</v>
      </c>
      <c r="K25" s="12">
        <v>0</v>
      </c>
      <c r="L25" s="18">
        <v>0</v>
      </c>
      <c r="M25" s="12">
        <v>0</v>
      </c>
      <c r="N25" s="18">
        <v>0</v>
      </c>
      <c r="O25" s="12">
        <v>0</v>
      </c>
      <c r="P25" s="7" t="s">
        <v>55</v>
      </c>
      <c r="Q25" s="18">
        <v>41990</v>
      </c>
      <c r="R25" s="12">
        <v>85.147999999999996</v>
      </c>
      <c r="S25" s="18">
        <v>7324</v>
      </c>
      <c r="T25" s="12">
        <v>14.852000000000004</v>
      </c>
      <c r="V25" s="7" t="s">
        <v>64</v>
      </c>
      <c r="W25" s="18">
        <v>618979</v>
      </c>
      <c r="X25" s="12">
        <v>100</v>
      </c>
      <c r="Y25" s="18">
        <v>0</v>
      </c>
      <c r="Z25" s="12">
        <v>0</v>
      </c>
      <c r="AA25" s="18">
        <v>0</v>
      </c>
      <c r="AB25" s="12">
        <v>0</v>
      </c>
      <c r="AC25" s="18">
        <v>0</v>
      </c>
      <c r="AD25" s="12">
        <v>0</v>
      </c>
      <c r="AE25" s="18">
        <v>0</v>
      </c>
      <c r="AF25" s="12">
        <v>0</v>
      </c>
      <c r="AG25" s="18">
        <v>0</v>
      </c>
      <c r="AH25" s="12">
        <v>0</v>
      </c>
      <c r="AI25" s="18">
        <v>0</v>
      </c>
      <c r="AJ25" s="12">
        <v>0</v>
      </c>
      <c r="AK25" s="7" t="s">
        <v>64</v>
      </c>
      <c r="AL25" s="18">
        <v>377467</v>
      </c>
      <c r="AM25" s="12">
        <v>99.056960000000004</v>
      </c>
      <c r="AN25" s="18">
        <v>3594</v>
      </c>
      <c r="AO25" s="12">
        <v>0.94303999999999633</v>
      </c>
    </row>
    <row r="26" spans="1:41" x14ac:dyDescent="0.2">
      <c r="A26" s="7" t="s">
        <v>53</v>
      </c>
      <c r="B26" s="18">
        <v>462801</v>
      </c>
      <c r="C26" s="12">
        <v>99.008780999999999</v>
      </c>
      <c r="D26" s="18">
        <v>6</v>
      </c>
      <c r="E26" s="12">
        <v>1.219E-3</v>
      </c>
      <c r="F26" s="18">
        <v>0</v>
      </c>
      <c r="G26" s="12">
        <v>0</v>
      </c>
      <c r="H26" s="18">
        <v>0</v>
      </c>
      <c r="I26" s="12">
        <v>0</v>
      </c>
      <c r="J26" s="18">
        <v>0</v>
      </c>
      <c r="K26" s="12">
        <v>0</v>
      </c>
      <c r="L26" s="18">
        <v>0</v>
      </c>
      <c r="M26" s="12">
        <v>0</v>
      </c>
      <c r="N26" s="18">
        <v>0</v>
      </c>
      <c r="O26" s="12">
        <v>0</v>
      </c>
      <c r="P26" s="7" t="s">
        <v>53</v>
      </c>
      <c r="Q26" s="18">
        <v>46851</v>
      </c>
      <c r="R26" s="12">
        <v>95.005812000000006</v>
      </c>
      <c r="S26" s="18">
        <v>2463</v>
      </c>
      <c r="T26" s="12">
        <v>4.9941879999999941</v>
      </c>
      <c r="V26" s="7" t="s">
        <v>65</v>
      </c>
      <c r="W26" s="18">
        <v>534924</v>
      </c>
      <c r="X26" s="12">
        <v>92.092799999999997</v>
      </c>
      <c r="Y26" s="18">
        <v>0</v>
      </c>
      <c r="Z26" s="12">
        <v>0</v>
      </c>
      <c r="AA26" s="18">
        <v>45929</v>
      </c>
      <c r="AB26" s="12">
        <v>7.9072000000000005</v>
      </c>
      <c r="AC26" s="18">
        <v>0</v>
      </c>
      <c r="AD26" s="12">
        <v>0</v>
      </c>
      <c r="AE26" s="18">
        <v>0</v>
      </c>
      <c r="AF26" s="12">
        <v>0</v>
      </c>
      <c r="AG26" s="18">
        <v>0</v>
      </c>
      <c r="AH26" s="12">
        <v>0</v>
      </c>
      <c r="AI26" s="18">
        <v>0</v>
      </c>
      <c r="AJ26" s="12">
        <v>0</v>
      </c>
      <c r="AK26" s="7" t="s">
        <v>65</v>
      </c>
      <c r="AL26" s="18">
        <v>415089</v>
      </c>
      <c r="AM26" s="12">
        <v>99.018917000000002</v>
      </c>
      <c r="AN26" s="18">
        <v>4113</v>
      </c>
      <c r="AO26" s="12">
        <v>0.98108299999999815</v>
      </c>
    </row>
    <row r="27" spans="1:41" x14ac:dyDescent="0.2">
      <c r="A27" s="7" t="s">
        <v>54</v>
      </c>
      <c r="B27" s="21" t="s">
        <v>99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2"/>
      <c r="P27" s="7" t="s">
        <v>54</v>
      </c>
      <c r="Q27" s="21" t="s">
        <v>99</v>
      </c>
      <c r="R27" s="21"/>
      <c r="S27" s="21"/>
      <c r="T27" s="22"/>
      <c r="V27" s="7" t="s">
        <v>66</v>
      </c>
      <c r="W27" s="21" t="s">
        <v>100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2"/>
      <c r="AK27" s="7" t="s">
        <v>66</v>
      </c>
      <c r="AL27" s="20" t="s">
        <v>100</v>
      </c>
      <c r="AM27" s="21"/>
      <c r="AN27" s="21"/>
      <c r="AO27" s="22"/>
    </row>
    <row r="28" spans="1:41" x14ac:dyDescent="0.2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  <c r="Q28" s="5"/>
      <c r="R28" s="5"/>
      <c r="S28" s="5"/>
      <c r="T28" s="5"/>
      <c r="V28" s="7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7"/>
      <c r="AL28" s="5"/>
      <c r="AM28" s="5"/>
      <c r="AN28" s="5"/>
      <c r="AO28" s="5"/>
    </row>
    <row r="29" spans="1:41" x14ac:dyDescent="0.2">
      <c r="A29" s="7" t="s">
        <v>56</v>
      </c>
      <c r="B29" s="18">
        <v>38988</v>
      </c>
      <c r="C29" s="5">
        <v>79.060500000000005</v>
      </c>
      <c r="D29" s="5">
        <v>0</v>
      </c>
      <c r="E29" s="12">
        <v>0</v>
      </c>
      <c r="F29" s="18">
        <v>10326</v>
      </c>
      <c r="G29" s="5">
        <v>20.939499999999999</v>
      </c>
      <c r="H29" s="5">
        <v>0</v>
      </c>
      <c r="I29" s="12">
        <v>0</v>
      </c>
      <c r="J29" s="18">
        <v>0</v>
      </c>
      <c r="K29" s="12">
        <v>0</v>
      </c>
      <c r="L29" s="18">
        <v>0</v>
      </c>
      <c r="M29" s="12">
        <v>0</v>
      </c>
      <c r="N29" s="18">
        <v>0</v>
      </c>
      <c r="O29" s="12">
        <v>0</v>
      </c>
      <c r="P29" s="7" t="s">
        <v>56</v>
      </c>
      <c r="Q29" s="18">
        <v>32548</v>
      </c>
      <c r="R29" s="12">
        <v>66.001385999999997</v>
      </c>
      <c r="S29" s="18">
        <v>16766</v>
      </c>
      <c r="T29" s="12">
        <v>33.998614000000003</v>
      </c>
      <c r="V29" s="7" t="s">
        <v>67</v>
      </c>
      <c r="W29" s="18">
        <v>381244</v>
      </c>
      <c r="X29" s="12">
        <v>99.998384000000001</v>
      </c>
      <c r="Y29" s="18">
        <v>6</v>
      </c>
      <c r="Z29" s="12">
        <v>1.616E-3</v>
      </c>
      <c r="AA29" s="18">
        <v>0</v>
      </c>
      <c r="AB29" s="12">
        <v>0</v>
      </c>
      <c r="AC29" s="18">
        <v>0</v>
      </c>
      <c r="AD29" s="12">
        <v>0</v>
      </c>
      <c r="AE29" s="18">
        <v>0</v>
      </c>
      <c r="AF29" s="12">
        <v>0</v>
      </c>
      <c r="AG29" s="18">
        <v>0</v>
      </c>
      <c r="AH29" s="12">
        <v>0</v>
      </c>
      <c r="AI29" s="18">
        <v>0</v>
      </c>
      <c r="AJ29" s="12">
        <v>0</v>
      </c>
      <c r="AK29" s="7" t="s">
        <v>67</v>
      </c>
      <c r="AL29" s="18">
        <v>373627</v>
      </c>
      <c r="AM29" s="12">
        <v>98.019854699999996</v>
      </c>
      <c r="AN29" s="18">
        <v>7548</v>
      </c>
      <c r="AO29" s="12">
        <v>1.9801453000000038</v>
      </c>
    </row>
    <row r="30" spans="1:41" x14ac:dyDescent="0.2">
      <c r="A30" s="7" t="s">
        <v>75</v>
      </c>
      <c r="B30" s="21" t="s">
        <v>99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  <c r="P30" s="7" t="s">
        <v>75</v>
      </c>
      <c r="Q30" s="21" t="s">
        <v>99</v>
      </c>
      <c r="R30" s="21"/>
      <c r="S30" s="21"/>
      <c r="T30" s="22"/>
      <c r="V30" s="7" t="s">
        <v>79</v>
      </c>
      <c r="W30" s="21" t="s">
        <v>100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2"/>
      <c r="AK30" s="7" t="s">
        <v>79</v>
      </c>
      <c r="AL30" s="43" t="s">
        <v>100</v>
      </c>
      <c r="AM30" s="43"/>
      <c r="AN30" s="43"/>
      <c r="AO30" s="44"/>
    </row>
    <row r="31" spans="1:41" x14ac:dyDescent="0.2">
      <c r="A31" s="7" t="s">
        <v>77</v>
      </c>
      <c r="B31" s="21" t="s">
        <v>99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/>
      <c r="P31" s="7" t="s">
        <v>77</v>
      </c>
      <c r="Q31" s="21" t="s">
        <v>99</v>
      </c>
      <c r="R31" s="21"/>
      <c r="S31" s="21"/>
      <c r="T31" s="22"/>
      <c r="V31" s="7" t="s">
        <v>81</v>
      </c>
      <c r="W31" s="21" t="s">
        <v>100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2"/>
      <c r="AK31" s="7" t="s">
        <v>81</v>
      </c>
      <c r="AL31" s="43" t="s">
        <v>100</v>
      </c>
      <c r="AM31" s="43"/>
      <c r="AN31" s="43"/>
      <c r="AO31" s="44"/>
    </row>
    <row r="32" spans="1:41" x14ac:dyDescent="0.2">
      <c r="A32" s="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7"/>
      <c r="Q32" s="5"/>
      <c r="R32" s="5"/>
      <c r="S32" s="5"/>
      <c r="T32" s="5"/>
      <c r="V32" s="7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7"/>
      <c r="AL32" s="5"/>
      <c r="AM32" s="5"/>
      <c r="AN32" s="5"/>
      <c r="AO32" s="5"/>
    </row>
    <row r="33" spans="1:41" x14ac:dyDescent="0.2">
      <c r="A33" s="7" t="s">
        <v>58</v>
      </c>
      <c r="B33" s="18">
        <v>439970</v>
      </c>
      <c r="C33" s="5">
        <v>78.945400000000006</v>
      </c>
      <c r="D33" s="5">
        <v>0</v>
      </c>
      <c r="E33" s="12">
        <v>0</v>
      </c>
      <c r="F33" s="18">
        <v>117339</v>
      </c>
      <c r="G33" s="5">
        <v>21.054600000000001</v>
      </c>
      <c r="H33" s="5">
        <v>0</v>
      </c>
      <c r="I33" s="12">
        <v>0</v>
      </c>
      <c r="J33" s="18">
        <v>0</v>
      </c>
      <c r="K33" s="12">
        <v>0</v>
      </c>
      <c r="L33" s="18">
        <v>0</v>
      </c>
      <c r="M33" s="12">
        <v>0</v>
      </c>
      <c r="N33" s="18">
        <v>0</v>
      </c>
      <c r="O33" s="12">
        <v>0</v>
      </c>
      <c r="P33" s="7" t="s">
        <v>58</v>
      </c>
      <c r="Q33" s="18">
        <v>287878</v>
      </c>
      <c r="R33" s="12">
        <v>65.001464999999996</v>
      </c>
      <c r="S33" s="18">
        <v>155001</v>
      </c>
      <c r="T33" s="12">
        <v>34.998535000000004</v>
      </c>
      <c r="V33" s="7" t="s">
        <v>69</v>
      </c>
      <c r="W33" s="18">
        <v>383861</v>
      </c>
      <c r="X33" s="12">
        <v>90.965400000000002</v>
      </c>
      <c r="Y33" s="18">
        <v>0</v>
      </c>
      <c r="Z33" s="12">
        <v>0</v>
      </c>
      <c r="AA33" s="18">
        <v>38125</v>
      </c>
      <c r="AB33" s="5">
        <v>9.0345999999999993</v>
      </c>
      <c r="AC33" s="5">
        <v>0</v>
      </c>
      <c r="AD33" s="12">
        <v>0</v>
      </c>
      <c r="AE33" s="18">
        <v>0</v>
      </c>
      <c r="AF33" s="12">
        <v>0</v>
      </c>
      <c r="AG33" s="18">
        <v>0</v>
      </c>
      <c r="AH33" s="12">
        <v>0</v>
      </c>
      <c r="AI33" s="18">
        <v>0</v>
      </c>
      <c r="AJ33" s="12">
        <v>0</v>
      </c>
      <c r="AK33" s="7" t="s">
        <v>69</v>
      </c>
      <c r="AL33" s="18">
        <v>413668</v>
      </c>
      <c r="AM33" s="12">
        <v>98.025231999999988</v>
      </c>
      <c r="AN33" s="18">
        <v>8334</v>
      </c>
      <c r="AO33" s="12">
        <v>1.9747680000000116</v>
      </c>
    </row>
    <row r="34" spans="1:41" x14ac:dyDescent="0.2">
      <c r="A34" s="7" t="s">
        <v>59</v>
      </c>
      <c r="B34" s="18">
        <v>445276</v>
      </c>
      <c r="C34" s="5">
        <v>78.059200000000004</v>
      </c>
      <c r="D34" s="5">
        <v>0</v>
      </c>
      <c r="E34" s="12">
        <v>0</v>
      </c>
      <c r="F34" s="18">
        <v>125158</v>
      </c>
      <c r="G34" s="5">
        <v>21.940799999999999</v>
      </c>
      <c r="H34" s="5">
        <v>0</v>
      </c>
      <c r="I34" s="12">
        <v>0</v>
      </c>
      <c r="J34" s="18">
        <v>0</v>
      </c>
      <c r="K34" s="12">
        <v>0</v>
      </c>
      <c r="L34" s="18">
        <v>0</v>
      </c>
      <c r="M34" s="12">
        <v>0</v>
      </c>
      <c r="N34" s="18">
        <v>0</v>
      </c>
      <c r="O34" s="12">
        <v>0</v>
      </c>
      <c r="P34" s="7" t="s">
        <v>59</v>
      </c>
      <c r="Q34" s="18">
        <v>283698</v>
      </c>
      <c r="R34" s="5">
        <v>66.012780000000006</v>
      </c>
      <c r="S34" s="18">
        <v>146064</v>
      </c>
      <c r="T34" s="12">
        <v>33.987219999999994</v>
      </c>
      <c r="V34" s="7" t="s">
        <v>70</v>
      </c>
      <c r="W34" s="5">
        <v>464397</v>
      </c>
      <c r="X34" s="12">
        <v>100</v>
      </c>
      <c r="Y34" s="18">
        <v>0</v>
      </c>
      <c r="Z34" s="12">
        <v>0</v>
      </c>
      <c r="AA34" s="18">
        <v>0</v>
      </c>
      <c r="AB34" s="12">
        <v>0</v>
      </c>
      <c r="AC34" s="18">
        <v>0</v>
      </c>
      <c r="AD34" s="12">
        <v>0</v>
      </c>
      <c r="AE34" s="18">
        <v>0</v>
      </c>
      <c r="AF34" s="12">
        <v>0</v>
      </c>
      <c r="AG34" s="18">
        <v>0</v>
      </c>
      <c r="AH34" s="12">
        <v>0</v>
      </c>
      <c r="AI34" s="18">
        <v>0</v>
      </c>
      <c r="AJ34" s="12">
        <v>0</v>
      </c>
      <c r="AK34" s="7" t="s">
        <v>70</v>
      </c>
      <c r="AL34" s="18">
        <v>455156</v>
      </c>
      <c r="AM34" s="12">
        <v>98.005172999999999</v>
      </c>
      <c r="AN34" s="18">
        <v>9264</v>
      </c>
      <c r="AO34" s="12">
        <v>1.9948270000000008</v>
      </c>
    </row>
    <row r="35" spans="1:41" x14ac:dyDescent="0.2">
      <c r="A35" s="7" t="s">
        <v>60</v>
      </c>
      <c r="B35" s="21" t="s">
        <v>100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2"/>
      <c r="P35" s="7" t="s">
        <v>60</v>
      </c>
      <c r="Q35" s="21" t="s">
        <v>99</v>
      </c>
      <c r="R35" s="21"/>
      <c r="S35" s="21"/>
      <c r="T35" s="22"/>
      <c r="V35" s="7" t="s">
        <v>68</v>
      </c>
      <c r="W35" s="21" t="s">
        <v>100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2"/>
      <c r="AK35" s="7" t="s">
        <v>68</v>
      </c>
      <c r="AL35" s="20" t="s">
        <v>100</v>
      </c>
      <c r="AM35" s="21"/>
      <c r="AN35" s="21"/>
      <c r="AO35" s="22"/>
    </row>
    <row r="37" spans="1:41" ht="26.25" customHeight="1" x14ac:dyDescent="0.25">
      <c r="A37" s="46" t="s">
        <v>138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V37" s="45" t="s">
        <v>138</v>
      </c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7"/>
    </row>
    <row r="38" spans="1:41" x14ac:dyDescent="0.2">
      <c r="A38" s="7" t="s">
        <v>49</v>
      </c>
      <c r="B38" s="5" t="s">
        <v>85</v>
      </c>
      <c r="C38" s="5" t="s">
        <v>105</v>
      </c>
      <c r="D38" s="5" t="s">
        <v>87</v>
      </c>
      <c r="E38" s="5" t="s">
        <v>107</v>
      </c>
      <c r="F38" s="5" t="s">
        <v>89</v>
      </c>
      <c r="G38" s="5" t="s">
        <v>109</v>
      </c>
      <c r="H38" s="5" t="s">
        <v>91</v>
      </c>
      <c r="I38" s="5" t="s">
        <v>111</v>
      </c>
      <c r="J38" s="5" t="s">
        <v>93</v>
      </c>
      <c r="K38" s="5" t="s">
        <v>113</v>
      </c>
      <c r="L38" s="5" t="s">
        <v>95</v>
      </c>
      <c r="M38" s="5" t="s">
        <v>115</v>
      </c>
      <c r="N38" s="5" t="s">
        <v>97</v>
      </c>
      <c r="O38" s="5" t="s">
        <v>117</v>
      </c>
      <c r="P38" s="7" t="s">
        <v>73</v>
      </c>
      <c r="Q38" s="5" t="s">
        <v>101</v>
      </c>
      <c r="R38" s="5" t="s">
        <v>119</v>
      </c>
      <c r="S38" s="5" t="s">
        <v>103</v>
      </c>
      <c r="T38" s="5" t="s">
        <v>121</v>
      </c>
      <c r="V38" s="7" t="s">
        <v>49</v>
      </c>
      <c r="W38" s="5" t="s">
        <v>86</v>
      </c>
      <c r="X38" s="5" t="s">
        <v>106</v>
      </c>
      <c r="Y38" s="5" t="s">
        <v>88</v>
      </c>
      <c r="Z38" s="5" t="s">
        <v>108</v>
      </c>
      <c r="AA38" s="5" t="s">
        <v>90</v>
      </c>
      <c r="AB38" s="5" t="s">
        <v>110</v>
      </c>
      <c r="AC38" s="5" t="s">
        <v>92</v>
      </c>
      <c r="AD38" s="5" t="s">
        <v>112</v>
      </c>
      <c r="AE38" s="5" t="s">
        <v>94</v>
      </c>
      <c r="AF38" s="5" t="s">
        <v>114</v>
      </c>
      <c r="AG38" s="5" t="s">
        <v>96</v>
      </c>
      <c r="AH38" s="5" t="s">
        <v>116</v>
      </c>
      <c r="AI38" s="5" t="s">
        <v>98</v>
      </c>
      <c r="AJ38" s="5" t="s">
        <v>118</v>
      </c>
      <c r="AK38" s="7" t="s">
        <v>49</v>
      </c>
      <c r="AL38" s="5" t="s">
        <v>101</v>
      </c>
      <c r="AM38" s="5" t="s">
        <v>119</v>
      </c>
      <c r="AN38" s="5" t="s">
        <v>103</v>
      </c>
      <c r="AO38" s="5" t="s">
        <v>121</v>
      </c>
    </row>
    <row r="39" spans="1:41" x14ac:dyDescent="0.2">
      <c r="A39" s="7" t="s">
        <v>50</v>
      </c>
      <c r="B39" s="18">
        <v>25525</v>
      </c>
      <c r="C39" s="12">
        <v>3.4628000000000014</v>
      </c>
      <c r="D39" s="18">
        <v>0</v>
      </c>
      <c r="E39" s="12">
        <v>0</v>
      </c>
      <c r="F39" s="18">
        <v>711606</v>
      </c>
      <c r="G39" s="12">
        <v>96.537199999999999</v>
      </c>
      <c r="H39" s="18">
        <v>0</v>
      </c>
      <c r="I39" s="12">
        <v>0</v>
      </c>
      <c r="J39" s="18">
        <v>0</v>
      </c>
      <c r="K39" s="12">
        <v>0</v>
      </c>
      <c r="L39" s="18">
        <v>0</v>
      </c>
      <c r="M39" s="12">
        <v>0</v>
      </c>
      <c r="N39" s="18">
        <v>0</v>
      </c>
      <c r="O39" s="12">
        <v>0</v>
      </c>
      <c r="P39" s="7" t="s">
        <v>50</v>
      </c>
      <c r="Q39" s="18">
        <v>257661</v>
      </c>
      <c r="R39" s="12">
        <v>98.002545999999995</v>
      </c>
      <c r="S39" s="18">
        <v>5252</v>
      </c>
      <c r="T39" s="12">
        <v>1.9974540000000047</v>
      </c>
      <c r="V39" s="7" t="s">
        <v>61</v>
      </c>
      <c r="W39" s="20" t="s">
        <v>100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2"/>
      <c r="AK39" s="7" t="s">
        <v>61</v>
      </c>
      <c r="AL39" s="43" t="s">
        <v>128</v>
      </c>
      <c r="AM39" s="43"/>
      <c r="AN39" s="43"/>
      <c r="AO39" s="44"/>
    </row>
    <row r="40" spans="1:41" x14ac:dyDescent="0.2">
      <c r="A40" s="7" t="s">
        <v>51</v>
      </c>
      <c r="B40" s="18">
        <v>471501</v>
      </c>
      <c r="C40" s="12">
        <v>77.754900000000006</v>
      </c>
      <c r="D40" s="18">
        <v>75258</v>
      </c>
      <c r="E40" s="12">
        <v>12.4108</v>
      </c>
      <c r="F40" s="18">
        <v>0</v>
      </c>
      <c r="G40" s="12">
        <v>0</v>
      </c>
      <c r="H40" s="18">
        <v>59635</v>
      </c>
      <c r="I40" s="12">
        <v>9.8343000000000007</v>
      </c>
      <c r="J40" s="18">
        <v>0</v>
      </c>
      <c r="K40" s="12">
        <v>0</v>
      </c>
      <c r="L40" s="18">
        <v>0</v>
      </c>
      <c r="M40" s="12">
        <v>0</v>
      </c>
      <c r="N40" s="18">
        <v>0</v>
      </c>
      <c r="O40" s="12">
        <v>0</v>
      </c>
      <c r="P40" s="7" t="s">
        <v>51</v>
      </c>
      <c r="Q40" s="18">
        <v>255994</v>
      </c>
      <c r="R40" s="12">
        <v>65.008115000000004</v>
      </c>
      <c r="S40" s="18">
        <v>137793</v>
      </c>
      <c r="T40" s="12">
        <v>34.991884999999996</v>
      </c>
      <c r="V40" s="7" t="s">
        <v>62</v>
      </c>
      <c r="W40" s="18">
        <v>3256</v>
      </c>
      <c r="X40" s="12">
        <v>0.44539999999999225</v>
      </c>
      <c r="Y40" s="18">
        <v>0</v>
      </c>
      <c r="Z40" s="12">
        <v>0</v>
      </c>
      <c r="AA40" s="18">
        <v>727782</v>
      </c>
      <c r="AB40" s="12">
        <v>99.554600000000008</v>
      </c>
      <c r="AC40" s="18">
        <v>0</v>
      </c>
      <c r="AD40" s="12">
        <v>0</v>
      </c>
      <c r="AE40" s="18">
        <v>0</v>
      </c>
      <c r="AF40" s="12">
        <v>0</v>
      </c>
      <c r="AG40" s="18">
        <v>0</v>
      </c>
      <c r="AH40" s="12">
        <v>0</v>
      </c>
      <c r="AI40" s="18">
        <v>0</v>
      </c>
      <c r="AJ40" s="12">
        <v>0</v>
      </c>
      <c r="AK40" s="7" t="s">
        <v>62</v>
      </c>
      <c r="AL40" s="18">
        <v>268308</v>
      </c>
      <c r="AM40" s="12">
        <v>99.705060000000003</v>
      </c>
      <c r="AN40" s="18">
        <v>794</v>
      </c>
      <c r="AO40" s="12">
        <v>0.29493999999999687</v>
      </c>
    </row>
    <row r="41" spans="1:41" x14ac:dyDescent="0.2">
      <c r="A41" s="7" t="s">
        <v>52</v>
      </c>
      <c r="B41" s="18">
        <v>215087</v>
      </c>
      <c r="C41" s="12">
        <v>40.903200000000005</v>
      </c>
      <c r="D41" s="18">
        <v>90924</v>
      </c>
      <c r="E41" s="12">
        <v>17.2911</v>
      </c>
      <c r="F41" s="18">
        <v>162989</v>
      </c>
      <c r="G41" s="12">
        <v>30.995599999999996</v>
      </c>
      <c r="H41" s="18">
        <v>0</v>
      </c>
      <c r="I41" s="12">
        <v>0</v>
      </c>
      <c r="J41" s="18">
        <v>56844</v>
      </c>
      <c r="K41" s="12">
        <v>10.8101</v>
      </c>
      <c r="L41" s="18">
        <v>0</v>
      </c>
      <c r="M41" s="12">
        <v>0</v>
      </c>
      <c r="N41" s="18">
        <v>0</v>
      </c>
      <c r="O41" s="12">
        <v>0</v>
      </c>
      <c r="P41" s="7" t="s">
        <v>52</v>
      </c>
      <c r="Q41" s="18">
        <v>351074</v>
      </c>
      <c r="R41" s="12">
        <v>74.005680999999996</v>
      </c>
      <c r="S41" s="18">
        <v>123314</v>
      </c>
      <c r="T41" s="12">
        <v>25.994319000000004</v>
      </c>
      <c r="V41" s="7" t="s">
        <v>63</v>
      </c>
      <c r="W41" s="18">
        <v>13979</v>
      </c>
      <c r="X41" s="12">
        <v>1.742999999999995</v>
      </c>
      <c r="Y41" s="18">
        <v>649586</v>
      </c>
      <c r="Z41" s="12">
        <v>80.997200000000007</v>
      </c>
      <c r="AA41" s="18">
        <v>138421</v>
      </c>
      <c r="AB41" s="12">
        <v>17.259799999999998</v>
      </c>
      <c r="AC41" s="18">
        <v>0</v>
      </c>
      <c r="AD41" s="12">
        <v>0</v>
      </c>
      <c r="AE41" s="18">
        <v>0</v>
      </c>
      <c r="AF41" s="12">
        <v>0</v>
      </c>
      <c r="AG41" s="18">
        <v>0</v>
      </c>
      <c r="AH41" s="12">
        <v>0</v>
      </c>
      <c r="AI41" s="18">
        <v>0</v>
      </c>
      <c r="AJ41" s="12">
        <v>0</v>
      </c>
      <c r="AK41" s="7" t="s">
        <v>63</v>
      </c>
      <c r="AL41" s="18">
        <v>197565</v>
      </c>
      <c r="AM41" s="12">
        <v>99.70714000000001</v>
      </c>
      <c r="AN41" s="18">
        <v>580</v>
      </c>
      <c r="AO41" s="12">
        <v>0.29285999999999035</v>
      </c>
    </row>
    <row r="42" spans="1:41" x14ac:dyDescent="0.2">
      <c r="A42" s="7"/>
      <c r="B42" s="18"/>
      <c r="C42" s="5"/>
      <c r="D42" s="18"/>
      <c r="E42" s="5"/>
      <c r="F42" s="18"/>
      <c r="G42" s="5"/>
      <c r="H42" s="18"/>
      <c r="I42" s="5"/>
      <c r="J42" s="18"/>
      <c r="K42" s="5"/>
      <c r="L42" s="18"/>
      <c r="M42" s="5"/>
      <c r="N42" s="18"/>
      <c r="O42" s="5"/>
      <c r="P42" s="7"/>
      <c r="Q42" s="18"/>
      <c r="R42" s="5"/>
      <c r="S42" s="18"/>
      <c r="T42" s="5"/>
      <c r="V42" s="7"/>
      <c r="W42" s="5"/>
      <c r="X42" s="5"/>
      <c r="Y42" s="5"/>
      <c r="Z42" s="5"/>
      <c r="AA42" s="5"/>
      <c r="AB42" s="5"/>
      <c r="AC42" s="5"/>
      <c r="AD42" s="5"/>
      <c r="AE42" s="18"/>
      <c r="AF42" s="5"/>
      <c r="AG42" s="5"/>
      <c r="AH42" s="5"/>
      <c r="AI42" s="5"/>
      <c r="AJ42" s="5"/>
      <c r="AK42" s="7"/>
      <c r="AL42" s="5"/>
      <c r="AM42" s="5"/>
      <c r="AN42" s="5"/>
      <c r="AO42" s="5"/>
    </row>
    <row r="43" spans="1:41" x14ac:dyDescent="0.2">
      <c r="A43" s="7" t="s">
        <v>55</v>
      </c>
      <c r="B43" s="18">
        <v>72478</v>
      </c>
      <c r="C43" s="12">
        <v>32.728999999999999</v>
      </c>
      <c r="D43" s="18">
        <v>34918</v>
      </c>
      <c r="E43" s="12">
        <v>15.767900000000001</v>
      </c>
      <c r="F43" s="18">
        <v>0</v>
      </c>
      <c r="G43" s="12">
        <v>0</v>
      </c>
      <c r="H43" s="18">
        <v>99884</v>
      </c>
      <c r="I43" s="12">
        <v>45.104500000000002</v>
      </c>
      <c r="J43" s="18">
        <v>14170</v>
      </c>
      <c r="K43" s="12">
        <v>6.3986000000000001</v>
      </c>
      <c r="L43" s="18">
        <v>0</v>
      </c>
      <c r="M43" s="12">
        <v>0</v>
      </c>
      <c r="N43" s="18">
        <v>0</v>
      </c>
      <c r="O43" s="12">
        <v>0</v>
      </c>
      <c r="P43" s="7" t="s">
        <v>55</v>
      </c>
      <c r="Q43" s="18">
        <v>178524</v>
      </c>
      <c r="R43" s="5">
        <v>80.614800000000002</v>
      </c>
      <c r="S43" s="18">
        <v>42929</v>
      </c>
      <c r="T43" s="5">
        <v>19.385199999999998</v>
      </c>
      <c r="V43" s="7" t="s">
        <v>64</v>
      </c>
      <c r="W43" s="20" t="s">
        <v>100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2"/>
      <c r="AK43" s="7" t="s">
        <v>64</v>
      </c>
      <c r="AL43" s="43" t="s">
        <v>100</v>
      </c>
      <c r="AM43" s="43"/>
      <c r="AN43" s="43"/>
      <c r="AO43" s="44"/>
    </row>
    <row r="44" spans="1:41" x14ac:dyDescent="0.2">
      <c r="A44" s="7" t="s">
        <v>53</v>
      </c>
      <c r="B44" s="18">
        <v>135127</v>
      </c>
      <c r="C44" s="12">
        <v>54.108199999999997</v>
      </c>
      <c r="D44" s="18">
        <v>56841</v>
      </c>
      <c r="E44" s="12">
        <v>22.760400000000001</v>
      </c>
      <c r="F44" s="18">
        <v>24890</v>
      </c>
      <c r="G44" s="12">
        <v>9.9666000000000032</v>
      </c>
      <c r="H44" s="18">
        <v>0</v>
      </c>
      <c r="I44" s="12">
        <v>0</v>
      </c>
      <c r="J44" s="18">
        <v>32877</v>
      </c>
      <c r="K44" s="12">
        <v>13.1648</v>
      </c>
      <c r="L44" s="18">
        <v>0</v>
      </c>
      <c r="M44" s="12">
        <v>0</v>
      </c>
      <c r="N44" s="18">
        <v>0</v>
      </c>
      <c r="O44" s="12">
        <v>0</v>
      </c>
      <c r="P44" s="7" t="s">
        <v>53</v>
      </c>
      <c r="Q44" s="18">
        <v>167352</v>
      </c>
      <c r="R44" s="12">
        <v>67.010230000000007</v>
      </c>
      <c r="S44" s="18">
        <v>82389</v>
      </c>
      <c r="T44" s="12">
        <v>32.989769999999993</v>
      </c>
      <c r="V44" s="7" t="s">
        <v>65</v>
      </c>
      <c r="W44" s="18">
        <v>69725</v>
      </c>
      <c r="X44" s="12">
        <v>12.625799999999998</v>
      </c>
      <c r="Y44" s="18">
        <v>33741</v>
      </c>
      <c r="Z44" s="12">
        <v>6.1098999999999997</v>
      </c>
      <c r="AA44" s="18">
        <v>0</v>
      </c>
      <c r="AB44" s="12">
        <v>0</v>
      </c>
      <c r="AC44" s="18">
        <v>0</v>
      </c>
      <c r="AD44" s="12">
        <v>0</v>
      </c>
      <c r="AE44" s="18">
        <v>23473</v>
      </c>
      <c r="AF44" s="12">
        <v>4.2506000000000057</v>
      </c>
      <c r="AG44" s="18">
        <v>425300</v>
      </c>
      <c r="AH44" s="12">
        <v>77.0137</v>
      </c>
      <c r="AI44" s="18">
        <v>0</v>
      </c>
      <c r="AJ44" s="12">
        <v>0</v>
      </c>
      <c r="AK44" s="7" t="s">
        <v>65</v>
      </c>
      <c r="AL44" s="18">
        <v>403096</v>
      </c>
      <c r="AM44" s="12">
        <v>90.016126999999997</v>
      </c>
      <c r="AN44" s="18">
        <v>44708</v>
      </c>
      <c r="AO44" s="12">
        <v>9.9838730000000027</v>
      </c>
    </row>
    <row r="45" spans="1:41" x14ac:dyDescent="0.2">
      <c r="A45" s="7" t="s">
        <v>54</v>
      </c>
      <c r="B45" s="18">
        <v>72648</v>
      </c>
      <c r="C45" s="5">
        <v>14.2797</v>
      </c>
      <c r="D45" s="18">
        <v>35025</v>
      </c>
      <c r="E45" s="5">
        <v>6.8844000000000003</v>
      </c>
      <c r="F45" s="18">
        <v>0</v>
      </c>
      <c r="G45" s="12">
        <v>0</v>
      </c>
      <c r="H45" s="18">
        <v>0</v>
      </c>
      <c r="I45" s="12">
        <v>0</v>
      </c>
      <c r="J45" s="18">
        <v>0</v>
      </c>
      <c r="K45" s="12">
        <v>0</v>
      </c>
      <c r="L45" s="18">
        <v>197578</v>
      </c>
      <c r="M45" s="5">
        <v>38.835900000000002</v>
      </c>
      <c r="N45" s="18">
        <v>203501</v>
      </c>
      <c r="O45" s="12">
        <v>40</v>
      </c>
      <c r="P45" s="7" t="s">
        <v>54</v>
      </c>
      <c r="Q45" s="18">
        <v>325833</v>
      </c>
      <c r="R45" s="5">
        <v>66.313800000000001</v>
      </c>
      <c r="S45" s="18">
        <v>165517</v>
      </c>
      <c r="T45" s="5">
        <v>33.686199999999999</v>
      </c>
      <c r="V45" s="7" t="s">
        <v>66</v>
      </c>
      <c r="W45" s="24">
        <v>14753</v>
      </c>
      <c r="X45" s="16">
        <v>2.2022000000000048</v>
      </c>
      <c r="Y45" s="18">
        <v>0</v>
      </c>
      <c r="Z45" s="16">
        <v>0</v>
      </c>
      <c r="AA45" s="18">
        <v>655155</v>
      </c>
      <c r="AB45" s="16">
        <v>97.797799999999995</v>
      </c>
      <c r="AC45" s="24">
        <v>0</v>
      </c>
      <c r="AD45" s="16">
        <v>0</v>
      </c>
      <c r="AE45" s="18">
        <v>0</v>
      </c>
      <c r="AF45" s="16">
        <v>0</v>
      </c>
      <c r="AG45" s="18">
        <v>0</v>
      </c>
      <c r="AH45" s="16">
        <v>0</v>
      </c>
      <c r="AI45" s="24">
        <v>0</v>
      </c>
      <c r="AJ45" s="16">
        <v>0</v>
      </c>
      <c r="AK45" s="7" t="s">
        <v>66</v>
      </c>
      <c r="AL45" s="18">
        <v>323593</v>
      </c>
      <c r="AM45" s="12">
        <v>98.016266999999999</v>
      </c>
      <c r="AN45" s="18">
        <v>6549</v>
      </c>
      <c r="AO45" s="12">
        <v>1.9837330000000009</v>
      </c>
    </row>
    <row r="46" spans="1:41" x14ac:dyDescent="0.2">
      <c r="A46" s="7"/>
      <c r="B46" s="18"/>
      <c r="C46" s="5"/>
      <c r="D46" s="18"/>
      <c r="E46" s="5"/>
      <c r="F46" s="18"/>
      <c r="G46" s="5"/>
      <c r="H46" s="18"/>
      <c r="I46" s="5"/>
      <c r="J46" s="18"/>
      <c r="K46" s="5"/>
      <c r="L46" s="18"/>
      <c r="M46" s="5"/>
      <c r="N46" s="18"/>
      <c r="O46" s="5"/>
      <c r="P46" s="7"/>
      <c r="Q46" s="18"/>
      <c r="R46" s="5"/>
      <c r="S46" s="18"/>
      <c r="T46" s="5"/>
      <c r="V46" s="7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7"/>
      <c r="AL46" s="5"/>
      <c r="AM46" s="5"/>
      <c r="AN46" s="5"/>
      <c r="AO46" s="5"/>
    </row>
    <row r="47" spans="1:41" x14ac:dyDescent="0.2">
      <c r="A47" s="7" t="s">
        <v>56</v>
      </c>
      <c r="B47" s="18">
        <v>40070</v>
      </c>
      <c r="C47" s="12">
        <v>11.5107</v>
      </c>
      <c r="D47" s="18">
        <v>15753</v>
      </c>
      <c r="E47" s="12">
        <v>4.5251999999999999</v>
      </c>
      <c r="F47" s="18">
        <v>285614</v>
      </c>
      <c r="G47" s="12">
        <v>82.045199999999994</v>
      </c>
      <c r="H47" s="18">
        <v>0</v>
      </c>
      <c r="I47" s="12">
        <v>0</v>
      </c>
      <c r="J47" s="18">
        <v>0</v>
      </c>
      <c r="K47" s="12">
        <v>0</v>
      </c>
      <c r="L47" s="18">
        <v>6680</v>
      </c>
      <c r="M47" s="12">
        <v>1.9189000000000078</v>
      </c>
      <c r="N47" s="18">
        <v>0</v>
      </c>
      <c r="O47" s="12">
        <v>0</v>
      </c>
      <c r="P47" s="7" t="s">
        <v>56</v>
      </c>
      <c r="Q47" s="18">
        <v>249997</v>
      </c>
      <c r="R47" s="5">
        <v>71.813299999999998</v>
      </c>
      <c r="S47" s="18">
        <v>98124</v>
      </c>
      <c r="T47" s="5">
        <v>28.186700000000002</v>
      </c>
      <c r="V47" s="7" t="s">
        <v>67</v>
      </c>
      <c r="W47" s="18">
        <v>524827</v>
      </c>
      <c r="X47" s="5">
        <v>56.347499999999997</v>
      </c>
      <c r="Y47" s="18">
        <v>203678</v>
      </c>
      <c r="Z47" s="5">
        <v>21.867699999999999</v>
      </c>
      <c r="AA47" s="18">
        <v>74916</v>
      </c>
      <c r="AB47" s="5">
        <v>8.0432999999999986</v>
      </c>
      <c r="AC47" s="5">
        <v>0</v>
      </c>
      <c r="AD47" s="5">
        <v>0</v>
      </c>
      <c r="AE47" s="18">
        <v>127990</v>
      </c>
      <c r="AF47" s="5">
        <v>13.7415</v>
      </c>
      <c r="AG47" s="5">
        <v>0</v>
      </c>
      <c r="AH47" s="5">
        <v>0</v>
      </c>
      <c r="AI47" s="5"/>
      <c r="AJ47" s="5">
        <v>0</v>
      </c>
      <c r="AK47" s="7" t="s">
        <v>67</v>
      </c>
      <c r="AL47" s="18">
        <v>44625</v>
      </c>
      <c r="AM47" s="12">
        <v>65.008615000000006</v>
      </c>
      <c r="AN47" s="18">
        <v>24019</v>
      </c>
      <c r="AO47" s="12">
        <v>34.991384999999994</v>
      </c>
    </row>
    <row r="48" spans="1:41" x14ac:dyDescent="0.2">
      <c r="A48" s="7" t="s">
        <v>75</v>
      </c>
      <c r="B48" s="18">
        <v>186139</v>
      </c>
      <c r="C48" s="12">
        <v>57.6295</v>
      </c>
      <c r="D48" s="18">
        <v>65074</v>
      </c>
      <c r="E48" s="12">
        <v>20.147200000000002</v>
      </c>
      <c r="F48" s="18">
        <v>32585</v>
      </c>
      <c r="G48" s="12">
        <v>10.0886</v>
      </c>
      <c r="H48" s="18">
        <v>0</v>
      </c>
      <c r="I48" s="12">
        <v>0</v>
      </c>
      <c r="J48" s="18">
        <v>39194</v>
      </c>
      <c r="K48" s="12">
        <v>12.1347</v>
      </c>
      <c r="L48" s="18">
        <v>0</v>
      </c>
      <c r="M48" s="12">
        <v>0</v>
      </c>
      <c r="N48" s="18">
        <v>0</v>
      </c>
      <c r="O48" s="12">
        <v>0</v>
      </c>
      <c r="P48" s="7" t="s">
        <v>75</v>
      </c>
      <c r="Q48" s="18">
        <v>206794</v>
      </c>
      <c r="R48" s="12">
        <v>64.007190000000008</v>
      </c>
      <c r="S48" s="18">
        <v>116286</v>
      </c>
      <c r="T48" s="12">
        <v>35.992809999999992</v>
      </c>
      <c r="V48" s="7" t="s">
        <v>79</v>
      </c>
      <c r="W48" s="20" t="s">
        <v>100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2"/>
      <c r="AK48" s="7" t="s">
        <v>79</v>
      </c>
      <c r="AL48" s="43" t="s">
        <v>100</v>
      </c>
      <c r="AM48" s="43"/>
      <c r="AN48" s="43"/>
      <c r="AO48" s="44"/>
    </row>
    <row r="49" spans="1:41" x14ac:dyDescent="0.2">
      <c r="A49" s="7" t="s">
        <v>77</v>
      </c>
      <c r="B49" s="18">
        <v>353009</v>
      </c>
      <c r="C49" s="15">
        <v>60.659700000000001</v>
      </c>
      <c r="D49" s="18">
        <v>135442</v>
      </c>
      <c r="E49" s="15">
        <v>23.273800000000001</v>
      </c>
      <c r="F49" s="18">
        <v>34160</v>
      </c>
      <c r="G49" s="15">
        <v>5.87</v>
      </c>
      <c r="H49" s="18">
        <v>0</v>
      </c>
      <c r="I49" s="15">
        <v>0</v>
      </c>
      <c r="J49" s="18">
        <v>59339</v>
      </c>
      <c r="K49" s="15">
        <v>10.1965</v>
      </c>
      <c r="L49" s="18">
        <v>0</v>
      </c>
      <c r="M49" s="15">
        <v>0</v>
      </c>
      <c r="N49" s="18">
        <v>0</v>
      </c>
      <c r="O49" s="15">
        <v>0</v>
      </c>
      <c r="P49" s="7" t="s">
        <v>77</v>
      </c>
      <c r="Q49" s="18">
        <v>276006</v>
      </c>
      <c r="R49" s="12">
        <v>66.002718999999999</v>
      </c>
      <c r="S49" s="18">
        <v>142167</v>
      </c>
      <c r="T49" s="12">
        <v>33.997281000000001</v>
      </c>
      <c r="V49" s="7" t="s">
        <v>81</v>
      </c>
      <c r="W49" s="18">
        <v>365569</v>
      </c>
      <c r="X49" s="12">
        <v>56.192800000000013</v>
      </c>
      <c r="Y49" s="18">
        <v>141449</v>
      </c>
      <c r="Z49" s="12">
        <v>21.742599999999999</v>
      </c>
      <c r="AA49" s="18">
        <v>51133</v>
      </c>
      <c r="AB49" s="12">
        <v>7.8597999999999999</v>
      </c>
      <c r="AC49" s="18">
        <v>0</v>
      </c>
      <c r="AD49" s="12">
        <v>0</v>
      </c>
      <c r="AE49" s="18">
        <v>92411</v>
      </c>
      <c r="AF49" s="12">
        <v>14.204800000000001</v>
      </c>
      <c r="AG49" s="18">
        <v>0</v>
      </c>
      <c r="AH49" s="12">
        <v>0</v>
      </c>
      <c r="AI49" s="18">
        <v>0</v>
      </c>
      <c r="AJ49" s="12">
        <v>0</v>
      </c>
      <c r="AK49" s="7" t="s">
        <v>81</v>
      </c>
      <c r="AL49" s="18">
        <v>227217</v>
      </c>
      <c r="AM49" s="12">
        <v>65.008505</v>
      </c>
      <c r="AN49" s="18">
        <v>122302</v>
      </c>
      <c r="AO49" s="12">
        <v>34.991495</v>
      </c>
    </row>
    <row r="50" spans="1:41" x14ac:dyDescent="0.2">
      <c r="A50" s="7"/>
      <c r="B50" s="18"/>
      <c r="C50" s="5"/>
      <c r="D50" s="18"/>
      <c r="E50" s="5"/>
      <c r="F50" s="18"/>
      <c r="G50" s="5"/>
      <c r="H50" s="18"/>
      <c r="I50" s="5"/>
      <c r="J50" s="18"/>
      <c r="K50" s="5"/>
      <c r="L50" s="18"/>
      <c r="M50" s="5"/>
      <c r="N50" s="18"/>
      <c r="O50" s="5"/>
      <c r="P50" s="7"/>
      <c r="Q50" s="18"/>
      <c r="R50" s="5"/>
      <c r="S50" s="18"/>
      <c r="T50" s="5"/>
      <c r="V50" s="7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7"/>
      <c r="AL50" s="5"/>
      <c r="AM50" s="5"/>
      <c r="AN50" s="5"/>
      <c r="AO50" s="5"/>
    </row>
    <row r="51" spans="1:41" x14ac:dyDescent="0.2">
      <c r="A51" s="7" t="s">
        <v>58</v>
      </c>
      <c r="B51" s="18">
        <v>334210</v>
      </c>
      <c r="C51" s="12">
        <v>56.260299999999994</v>
      </c>
      <c r="D51" s="18">
        <v>130044</v>
      </c>
      <c r="E51" s="12">
        <v>21.891300000000001</v>
      </c>
      <c r="F51" s="18">
        <v>46324</v>
      </c>
      <c r="G51" s="12">
        <v>7.798099999999998</v>
      </c>
      <c r="H51" s="18">
        <v>0</v>
      </c>
      <c r="I51" s="12">
        <v>0</v>
      </c>
      <c r="J51" s="18">
        <v>83465</v>
      </c>
      <c r="K51" s="12">
        <v>14.050299999999998</v>
      </c>
      <c r="L51" s="18">
        <v>0</v>
      </c>
      <c r="M51" s="12">
        <v>0</v>
      </c>
      <c r="N51" s="18">
        <v>0</v>
      </c>
      <c r="O51" s="12">
        <v>0</v>
      </c>
      <c r="P51" s="7" t="s">
        <v>58</v>
      </c>
      <c r="Q51" s="18">
        <v>264042</v>
      </c>
      <c r="R51" s="12">
        <v>65.006929</v>
      </c>
      <c r="S51" s="18">
        <v>142133</v>
      </c>
      <c r="T51" s="12">
        <v>34.993071</v>
      </c>
      <c r="V51" s="7" t="s">
        <v>69</v>
      </c>
      <c r="W51" s="18">
        <v>457343</v>
      </c>
      <c r="X51" s="12">
        <v>55.308599999999991</v>
      </c>
      <c r="Y51" s="18">
        <v>177034</v>
      </c>
      <c r="Z51" s="12">
        <v>21.409500000000001</v>
      </c>
      <c r="AA51" s="18">
        <v>77698</v>
      </c>
      <c r="AB51" s="12">
        <v>9.3963999999999999</v>
      </c>
      <c r="AC51" s="18">
        <v>0</v>
      </c>
      <c r="AD51" s="12">
        <v>0</v>
      </c>
      <c r="AE51" s="18">
        <v>114818</v>
      </c>
      <c r="AF51" s="12">
        <v>13.8855</v>
      </c>
      <c r="AG51" s="18">
        <v>0</v>
      </c>
      <c r="AH51" s="12">
        <v>0</v>
      </c>
      <c r="AI51" s="18">
        <v>0</v>
      </c>
      <c r="AJ51" s="12">
        <v>0</v>
      </c>
      <c r="AK51" s="7" t="s">
        <v>69</v>
      </c>
      <c r="AL51" s="18">
        <v>116014</v>
      </c>
      <c r="AM51" s="12">
        <v>66.946000000000012</v>
      </c>
      <c r="AN51" s="18">
        <v>57281</v>
      </c>
      <c r="AO51" s="12">
        <v>33.053999999999988</v>
      </c>
    </row>
    <row r="52" spans="1:41" x14ac:dyDescent="0.2">
      <c r="A52" s="7" t="s">
        <v>59</v>
      </c>
      <c r="B52" s="18">
        <v>178079</v>
      </c>
      <c r="C52" s="12">
        <v>56.633099999999992</v>
      </c>
      <c r="D52" s="18">
        <v>70661</v>
      </c>
      <c r="E52" s="12">
        <v>22.471699999999998</v>
      </c>
      <c r="F52" s="18">
        <v>26583</v>
      </c>
      <c r="G52" s="12">
        <v>8.4540000000000006</v>
      </c>
      <c r="H52" s="18">
        <v>39121</v>
      </c>
      <c r="I52" s="12">
        <v>12.4412</v>
      </c>
      <c r="J52" s="18">
        <v>0</v>
      </c>
      <c r="K52" s="12">
        <v>0</v>
      </c>
      <c r="L52" s="18">
        <v>0</v>
      </c>
      <c r="M52" s="12">
        <v>0</v>
      </c>
      <c r="N52" s="18">
        <v>0</v>
      </c>
      <c r="O52" s="12">
        <v>0</v>
      </c>
      <c r="P52" s="7" t="s">
        <v>59</v>
      </c>
      <c r="Q52" s="18">
        <v>54516</v>
      </c>
      <c r="R52" s="12">
        <v>17.337</v>
      </c>
      <c r="S52" s="18">
        <v>259930</v>
      </c>
      <c r="T52" s="12">
        <v>82.662999999999997</v>
      </c>
      <c r="V52" s="7" t="s">
        <v>70</v>
      </c>
      <c r="W52" s="18">
        <v>474086</v>
      </c>
      <c r="X52" s="12">
        <v>56.394300000000001</v>
      </c>
      <c r="Y52" s="18">
        <v>188162</v>
      </c>
      <c r="Z52" s="12">
        <v>22.3826</v>
      </c>
      <c r="AA52" s="18">
        <v>62486</v>
      </c>
      <c r="AB52" s="12">
        <v>7.4329000000000001</v>
      </c>
      <c r="AC52" s="18">
        <v>0</v>
      </c>
      <c r="AD52" s="12">
        <v>0</v>
      </c>
      <c r="AE52" s="18">
        <v>115929</v>
      </c>
      <c r="AF52" s="12">
        <v>13.7902</v>
      </c>
      <c r="AG52" s="18">
        <v>0</v>
      </c>
      <c r="AH52" s="12">
        <v>0</v>
      </c>
      <c r="AI52" s="18">
        <v>0</v>
      </c>
      <c r="AJ52" s="12">
        <v>0</v>
      </c>
      <c r="AK52" s="7" t="s">
        <v>70</v>
      </c>
      <c r="AL52" s="18">
        <v>104186</v>
      </c>
      <c r="AM52" s="12">
        <v>65.3536</v>
      </c>
      <c r="AN52" s="18">
        <v>55233</v>
      </c>
      <c r="AO52" s="12">
        <v>34.6464</v>
      </c>
    </row>
    <row r="53" spans="1:41" x14ac:dyDescent="0.2">
      <c r="A53" s="7" t="s">
        <v>60</v>
      </c>
      <c r="B53" s="20" t="s">
        <v>72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2"/>
      <c r="P53" s="7" t="s">
        <v>60</v>
      </c>
      <c r="Q53" s="19" t="s">
        <v>99</v>
      </c>
      <c r="R53" s="43"/>
      <c r="S53" s="43"/>
      <c r="T53" s="44"/>
      <c r="V53" s="7" t="s">
        <v>68</v>
      </c>
      <c r="W53" s="20" t="s">
        <v>100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2"/>
      <c r="AK53" s="7" t="s">
        <v>68</v>
      </c>
      <c r="AL53" s="20" t="s">
        <v>100</v>
      </c>
      <c r="AM53" s="21"/>
      <c r="AN53" s="21"/>
      <c r="AO53" s="22"/>
    </row>
    <row r="55" spans="1:41" ht="15.75" x14ac:dyDescent="0.25">
      <c r="A55" s="9" t="s">
        <v>71</v>
      </c>
      <c r="B55" s="9"/>
    </row>
  </sheetData>
  <mergeCells count="17">
    <mergeCell ref="R53:T53"/>
    <mergeCell ref="AM8:AO8"/>
    <mergeCell ref="X8:AJ8"/>
    <mergeCell ref="AM13:AO13"/>
    <mergeCell ref="X13:AJ13"/>
    <mergeCell ref="AL43:AO43"/>
    <mergeCell ref="A37:T37"/>
    <mergeCell ref="V37:AO37"/>
    <mergeCell ref="AL17:AO17"/>
    <mergeCell ref="AL30:AO30"/>
    <mergeCell ref="AL31:AO31"/>
    <mergeCell ref="AL39:AO39"/>
    <mergeCell ref="AL48:AO48"/>
    <mergeCell ref="A1:T1"/>
    <mergeCell ref="V1:AO1"/>
    <mergeCell ref="V19:AO19"/>
    <mergeCell ref="A19:T1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zoomScaleNormal="100" workbookViewId="0">
      <selection activeCell="K8" sqref="K8"/>
    </sheetView>
  </sheetViews>
  <sheetFormatPr defaultRowHeight="14.25" x14ac:dyDescent="0.2"/>
  <cols>
    <col min="1" max="1" width="16.125" customWidth="1"/>
    <col min="2" max="2" width="11.125" customWidth="1"/>
    <col min="3" max="3" width="12.875" customWidth="1"/>
    <col min="4" max="4" width="10.75" customWidth="1"/>
    <col min="5" max="5" width="12.75" customWidth="1"/>
    <col min="6" max="6" width="10.875" customWidth="1"/>
    <col min="7" max="7" width="13.125" customWidth="1"/>
    <col min="8" max="8" width="11.5" customWidth="1"/>
    <col min="9" max="9" width="13.125" customWidth="1"/>
    <col min="10" max="10" width="11.25" customWidth="1"/>
    <col min="11" max="11" width="12.875" customWidth="1"/>
    <col min="12" max="12" width="11.375" customWidth="1"/>
    <col min="13" max="13" width="13.25" customWidth="1"/>
    <col min="14" max="14" width="10.875" customWidth="1"/>
    <col min="15" max="15" width="13.25" customWidth="1"/>
    <col min="16" max="16" width="11.875" customWidth="1"/>
    <col min="17" max="17" width="13.375" customWidth="1"/>
    <col min="18" max="18" width="16.25" customWidth="1"/>
    <col min="19" max="19" width="11.75" customWidth="1"/>
    <col min="20" max="20" width="13.25" customWidth="1"/>
    <col min="21" max="21" width="10.75" customWidth="1"/>
    <col min="22" max="22" width="13.375" customWidth="1"/>
  </cols>
  <sheetData>
    <row r="1" spans="1:22" ht="21.75" customHeight="1" x14ac:dyDescent="0.25">
      <c r="A1" s="45" t="s">
        <v>141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</row>
    <row r="2" spans="1:22" x14ac:dyDescent="0.2">
      <c r="A2" s="7" t="s">
        <v>49</v>
      </c>
      <c r="B2" s="17" t="s">
        <v>123</v>
      </c>
      <c r="C2" s="17" t="s">
        <v>106</v>
      </c>
      <c r="D2" s="17" t="s">
        <v>88</v>
      </c>
      <c r="E2" s="17" t="s">
        <v>108</v>
      </c>
      <c r="F2" s="17" t="s">
        <v>90</v>
      </c>
      <c r="G2" s="17" t="s">
        <v>110</v>
      </c>
      <c r="H2" s="17" t="s">
        <v>92</v>
      </c>
      <c r="I2" s="17" t="s">
        <v>112</v>
      </c>
      <c r="J2" s="17" t="s">
        <v>94</v>
      </c>
      <c r="K2" s="17" t="s">
        <v>114</v>
      </c>
      <c r="L2" s="17" t="s">
        <v>96</v>
      </c>
      <c r="M2" s="17" t="s">
        <v>116</v>
      </c>
      <c r="N2" s="17" t="s">
        <v>98</v>
      </c>
      <c r="O2" s="17" t="s">
        <v>118</v>
      </c>
      <c r="P2" s="17" t="s">
        <v>125</v>
      </c>
      <c r="Q2" s="17" t="s">
        <v>124</v>
      </c>
      <c r="R2" s="7" t="s">
        <v>49</v>
      </c>
      <c r="S2" s="17" t="s">
        <v>126</v>
      </c>
      <c r="T2" s="17" t="s">
        <v>120</v>
      </c>
      <c r="U2" s="17" t="s">
        <v>127</v>
      </c>
      <c r="V2" s="17" t="s">
        <v>122</v>
      </c>
    </row>
    <row r="3" spans="1:22" x14ac:dyDescent="0.2">
      <c r="A3" s="7" t="s">
        <v>50</v>
      </c>
      <c r="B3" s="43" t="s">
        <v>100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  <c r="R3" s="7" t="s">
        <v>50</v>
      </c>
      <c r="S3" s="43" t="s">
        <v>100</v>
      </c>
      <c r="T3" s="43"/>
      <c r="U3" s="43"/>
      <c r="V3" s="44"/>
    </row>
    <row r="4" spans="1:22" x14ac:dyDescent="0.2">
      <c r="A4" s="7" t="s">
        <v>51</v>
      </c>
      <c r="B4" s="25">
        <v>126516</v>
      </c>
      <c r="C4" s="12">
        <v>63.191000000000003</v>
      </c>
      <c r="D4" s="18">
        <v>17798</v>
      </c>
      <c r="E4" s="12">
        <v>8.8895999999999997</v>
      </c>
      <c r="F4" s="18">
        <v>55898</v>
      </c>
      <c r="G4" s="12">
        <v>27.919399999999996</v>
      </c>
      <c r="H4" s="18">
        <v>0</v>
      </c>
      <c r="I4" s="12">
        <v>0</v>
      </c>
      <c r="J4" s="18">
        <v>0</v>
      </c>
      <c r="K4" s="12">
        <v>0</v>
      </c>
      <c r="L4" s="18">
        <v>0</v>
      </c>
      <c r="M4" s="12">
        <v>0</v>
      </c>
      <c r="N4" s="18">
        <v>0</v>
      </c>
      <c r="O4" s="12">
        <v>0</v>
      </c>
      <c r="P4" s="18">
        <v>0</v>
      </c>
      <c r="Q4" s="12">
        <v>0</v>
      </c>
      <c r="R4" s="7" t="s">
        <v>51</v>
      </c>
      <c r="S4" s="25">
        <v>174883</v>
      </c>
      <c r="T4" s="12">
        <v>87.361999999999995</v>
      </c>
      <c r="U4" s="18">
        <v>25299</v>
      </c>
      <c r="V4" s="12">
        <v>12.638000000000005</v>
      </c>
    </row>
    <row r="5" spans="1:22" x14ac:dyDescent="0.2">
      <c r="A5" s="7" t="s">
        <v>52</v>
      </c>
      <c r="B5" s="43" t="s">
        <v>100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  <c r="R5" s="7" t="s">
        <v>52</v>
      </c>
      <c r="S5" s="43" t="s">
        <v>100</v>
      </c>
      <c r="T5" s="43"/>
      <c r="U5" s="43"/>
      <c r="V5" s="44"/>
    </row>
    <row r="6" spans="1:22" x14ac:dyDescent="0.2">
      <c r="A6" s="7"/>
      <c r="B6" s="1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17"/>
      <c r="T6" s="5"/>
      <c r="U6" s="5"/>
      <c r="V6" s="5"/>
    </row>
    <row r="7" spans="1:22" x14ac:dyDescent="0.2">
      <c r="A7" s="7" t="s">
        <v>55</v>
      </c>
      <c r="B7" s="25">
        <v>30707</v>
      </c>
      <c r="C7" s="12">
        <v>5.1651000000000025</v>
      </c>
      <c r="D7" s="18">
        <v>261687</v>
      </c>
      <c r="E7" s="12">
        <v>44.017299999999999</v>
      </c>
      <c r="F7" s="18">
        <v>42358</v>
      </c>
      <c r="G7" s="12">
        <v>7.1248000000000005</v>
      </c>
      <c r="H7" s="18">
        <v>0</v>
      </c>
      <c r="I7" s="12">
        <v>0</v>
      </c>
      <c r="J7" s="18">
        <v>0</v>
      </c>
      <c r="K7" s="12">
        <v>0</v>
      </c>
      <c r="L7" s="18">
        <v>0</v>
      </c>
      <c r="M7" s="12">
        <v>0</v>
      </c>
      <c r="N7" s="18">
        <v>0</v>
      </c>
      <c r="O7" s="12">
        <v>0</v>
      </c>
      <c r="P7" s="18">
        <v>259758</v>
      </c>
      <c r="Q7" s="12">
        <v>43.692799999999998</v>
      </c>
      <c r="R7" s="7" t="s">
        <v>55</v>
      </c>
      <c r="S7" s="25">
        <v>399776</v>
      </c>
      <c r="T7" s="5">
        <v>98.579399999999993</v>
      </c>
      <c r="U7" s="18">
        <v>5761</v>
      </c>
      <c r="V7" s="5">
        <v>1.4206000000000074</v>
      </c>
    </row>
    <row r="8" spans="1:22" x14ac:dyDescent="0.2">
      <c r="A8" s="7" t="s">
        <v>53</v>
      </c>
      <c r="B8" s="25">
        <v>81644</v>
      </c>
      <c r="C8" s="12">
        <v>17.570999999999998</v>
      </c>
      <c r="D8" s="18">
        <v>383009</v>
      </c>
      <c r="E8" s="12">
        <v>82.429000000000002</v>
      </c>
      <c r="F8" s="18">
        <v>0</v>
      </c>
      <c r="G8" s="12">
        <v>0</v>
      </c>
      <c r="H8" s="18">
        <v>0</v>
      </c>
      <c r="I8" s="12">
        <v>0</v>
      </c>
      <c r="J8" s="18">
        <v>0</v>
      </c>
      <c r="K8" s="12">
        <v>0</v>
      </c>
      <c r="L8" s="18">
        <v>0</v>
      </c>
      <c r="M8" s="12">
        <v>0</v>
      </c>
      <c r="N8" s="18">
        <v>0</v>
      </c>
      <c r="O8" s="12">
        <v>0</v>
      </c>
      <c r="P8" s="12">
        <v>0</v>
      </c>
      <c r="Q8" s="12">
        <v>0</v>
      </c>
      <c r="R8" s="7" t="s">
        <v>53</v>
      </c>
      <c r="S8" s="25">
        <v>443569</v>
      </c>
      <c r="T8" s="5">
        <v>95.462199999999996</v>
      </c>
      <c r="U8" s="18">
        <v>21085</v>
      </c>
      <c r="V8" s="5">
        <v>4.5378000000000043</v>
      </c>
    </row>
    <row r="9" spans="1:22" x14ac:dyDescent="0.2">
      <c r="A9" s="7" t="s">
        <v>54</v>
      </c>
      <c r="B9" s="25">
        <v>98737</v>
      </c>
      <c r="C9" s="12">
        <v>19.326799999999999</v>
      </c>
      <c r="D9" s="18">
        <v>133532</v>
      </c>
      <c r="E9" s="12">
        <v>26.137500000000003</v>
      </c>
      <c r="F9" s="18">
        <v>0</v>
      </c>
      <c r="G9" s="12">
        <v>0</v>
      </c>
      <c r="H9" s="18">
        <v>0</v>
      </c>
      <c r="I9" s="12">
        <v>0</v>
      </c>
      <c r="J9" s="18">
        <v>0</v>
      </c>
      <c r="K9" s="12">
        <v>0</v>
      </c>
      <c r="L9" s="18">
        <v>0</v>
      </c>
      <c r="M9" s="12">
        <v>0</v>
      </c>
      <c r="N9" s="18">
        <v>278613</v>
      </c>
      <c r="O9" s="12">
        <v>54.535699999999999</v>
      </c>
      <c r="P9" s="12">
        <v>0</v>
      </c>
      <c r="Q9" s="12">
        <v>0</v>
      </c>
      <c r="R9" s="7" t="s">
        <v>54</v>
      </c>
      <c r="S9" s="25">
        <v>392191</v>
      </c>
      <c r="T9" s="5">
        <v>80.175399999999996</v>
      </c>
      <c r="U9" s="18">
        <v>96975</v>
      </c>
      <c r="V9" s="5">
        <v>19.824600000000004</v>
      </c>
    </row>
    <row r="10" spans="1:22" x14ac:dyDescent="0.2">
      <c r="A10" s="7"/>
      <c r="B10" s="1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7"/>
      <c r="S10" s="25"/>
      <c r="T10" s="5"/>
      <c r="U10" s="18"/>
      <c r="V10" s="5"/>
    </row>
    <row r="11" spans="1:22" x14ac:dyDescent="0.2">
      <c r="A11" s="7" t="s">
        <v>82</v>
      </c>
      <c r="B11" s="25">
        <v>129859</v>
      </c>
      <c r="C11" s="12">
        <v>84.03479999999999</v>
      </c>
      <c r="D11" s="18">
        <v>10504</v>
      </c>
      <c r="E11" s="12">
        <v>6.7972000000000001</v>
      </c>
      <c r="F11" s="18">
        <v>0</v>
      </c>
      <c r="G11" s="12">
        <v>0</v>
      </c>
      <c r="H11" s="18">
        <v>0</v>
      </c>
      <c r="I11" s="12">
        <v>0</v>
      </c>
      <c r="J11" s="18">
        <v>0</v>
      </c>
      <c r="K11" s="12">
        <v>0</v>
      </c>
      <c r="L11" s="18">
        <v>0</v>
      </c>
      <c r="M11" s="12">
        <v>0</v>
      </c>
      <c r="N11" s="18">
        <v>0</v>
      </c>
      <c r="O11" s="12">
        <v>0</v>
      </c>
      <c r="P11" s="18">
        <v>14167</v>
      </c>
      <c r="Q11" s="12">
        <v>9.1679999999999993</v>
      </c>
      <c r="R11" s="7" t="s">
        <v>82</v>
      </c>
      <c r="S11" s="25">
        <v>128363</v>
      </c>
      <c r="T11" s="5">
        <v>83.080200000000005</v>
      </c>
      <c r="U11" s="18">
        <v>26142</v>
      </c>
      <c r="V11" s="5">
        <v>16.919799999999995</v>
      </c>
    </row>
    <row r="12" spans="1:22" x14ac:dyDescent="0.2">
      <c r="A12" s="7" t="s">
        <v>74</v>
      </c>
      <c r="B12" s="25">
        <v>453641</v>
      </c>
      <c r="C12" s="12">
        <v>79.171300000000002</v>
      </c>
      <c r="D12" s="18">
        <v>67661</v>
      </c>
      <c r="E12" s="12">
        <v>11.808499999999999</v>
      </c>
      <c r="F12" s="18">
        <v>0</v>
      </c>
      <c r="G12" s="12">
        <v>0</v>
      </c>
      <c r="H12" s="18">
        <v>0</v>
      </c>
      <c r="I12" s="12">
        <v>0</v>
      </c>
      <c r="J12" s="18">
        <v>0</v>
      </c>
      <c r="K12" s="12">
        <v>0</v>
      </c>
      <c r="L12" s="18">
        <v>0</v>
      </c>
      <c r="M12" s="12">
        <v>0</v>
      </c>
      <c r="N12" s="18">
        <v>0</v>
      </c>
      <c r="O12" s="12">
        <v>0</v>
      </c>
      <c r="P12" s="18">
        <v>51685</v>
      </c>
      <c r="Q12" s="12">
        <v>9.0202000000000009</v>
      </c>
      <c r="R12" s="7" t="s">
        <v>74</v>
      </c>
      <c r="S12" s="25">
        <v>357646</v>
      </c>
      <c r="T12" s="5">
        <v>83.7453</v>
      </c>
      <c r="U12" s="18">
        <v>69418</v>
      </c>
      <c r="V12" s="5">
        <v>16.2547</v>
      </c>
    </row>
    <row r="13" spans="1:22" x14ac:dyDescent="0.2">
      <c r="A13" s="7" t="s">
        <v>76</v>
      </c>
      <c r="B13" s="25">
        <v>439450</v>
      </c>
      <c r="C13" s="12">
        <v>81.072500000000005</v>
      </c>
      <c r="D13" s="18">
        <v>20296</v>
      </c>
      <c r="E13" s="12">
        <v>3.7443999999999997</v>
      </c>
      <c r="F13" s="18">
        <v>0</v>
      </c>
      <c r="G13" s="12">
        <v>0</v>
      </c>
      <c r="H13" s="18">
        <v>0</v>
      </c>
      <c r="I13" s="12">
        <v>0</v>
      </c>
      <c r="J13" s="18">
        <v>0</v>
      </c>
      <c r="K13" s="12">
        <v>0</v>
      </c>
      <c r="L13" s="18">
        <v>0</v>
      </c>
      <c r="M13" s="12">
        <v>0</v>
      </c>
      <c r="N13" s="18">
        <v>82299</v>
      </c>
      <c r="O13" s="12">
        <v>15.1831</v>
      </c>
      <c r="P13" s="18">
        <v>0</v>
      </c>
      <c r="Q13" s="12">
        <v>0</v>
      </c>
      <c r="R13" s="7" t="s">
        <v>76</v>
      </c>
      <c r="S13" s="25">
        <v>368349</v>
      </c>
      <c r="T13" s="12">
        <v>80.424999999999997</v>
      </c>
      <c r="U13" s="18">
        <v>89654</v>
      </c>
      <c r="V13" s="12">
        <v>19.575000000000003</v>
      </c>
    </row>
    <row r="14" spans="1:22" x14ac:dyDescent="0.2">
      <c r="A14" s="7"/>
      <c r="B14" s="1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8"/>
      <c r="Q14" s="5"/>
      <c r="R14" s="7"/>
      <c r="S14" s="25"/>
      <c r="T14" s="5"/>
      <c r="U14" s="18"/>
      <c r="V14" s="5"/>
    </row>
    <row r="15" spans="1:22" x14ac:dyDescent="0.2">
      <c r="A15" s="7" t="s">
        <v>58</v>
      </c>
      <c r="B15" s="25">
        <v>149680</v>
      </c>
      <c r="C15" s="12">
        <v>30.137</v>
      </c>
      <c r="D15" s="18">
        <v>20581</v>
      </c>
      <c r="E15" s="12">
        <v>4.1438000000000006</v>
      </c>
      <c r="F15" s="18">
        <v>326404</v>
      </c>
      <c r="G15" s="12">
        <v>65.719200000000001</v>
      </c>
      <c r="H15" s="18">
        <v>0</v>
      </c>
      <c r="I15" s="12">
        <v>0</v>
      </c>
      <c r="J15" s="18">
        <v>0</v>
      </c>
      <c r="K15" s="12">
        <v>0</v>
      </c>
      <c r="L15" s="18">
        <v>0</v>
      </c>
      <c r="M15" s="12">
        <v>0</v>
      </c>
      <c r="N15" s="18">
        <v>0</v>
      </c>
      <c r="O15" s="12">
        <v>0</v>
      </c>
      <c r="P15" s="18">
        <v>0</v>
      </c>
      <c r="Q15" s="12">
        <v>0</v>
      </c>
      <c r="R15" s="7" t="s">
        <v>58</v>
      </c>
      <c r="S15" s="25">
        <v>371279</v>
      </c>
      <c r="T15" s="12">
        <v>74.754099999999994</v>
      </c>
      <c r="U15" s="18">
        <v>125388</v>
      </c>
      <c r="V15" s="12">
        <v>25.245900000000006</v>
      </c>
    </row>
    <row r="16" spans="1:22" x14ac:dyDescent="0.2">
      <c r="A16" s="7" t="s">
        <v>59</v>
      </c>
      <c r="B16" s="43" t="s">
        <v>100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7" t="s">
        <v>59</v>
      </c>
      <c r="S16" s="43" t="s">
        <v>100</v>
      </c>
      <c r="T16" s="43"/>
      <c r="U16" s="43"/>
      <c r="V16" s="44"/>
    </row>
    <row r="17" spans="1:22" x14ac:dyDescent="0.2">
      <c r="A17" s="7" t="s">
        <v>57</v>
      </c>
      <c r="B17" s="43" t="s">
        <v>100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7" t="s">
        <v>57</v>
      </c>
      <c r="S17" s="43" t="s">
        <v>100</v>
      </c>
      <c r="T17" s="43"/>
      <c r="U17" s="43"/>
      <c r="V17" s="44"/>
    </row>
    <row r="18" spans="1:22" x14ac:dyDescent="0.2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">
      <c r="A20" s="7" t="s">
        <v>49</v>
      </c>
      <c r="B20" s="17" t="s">
        <v>123</v>
      </c>
      <c r="C20" s="17" t="s">
        <v>106</v>
      </c>
      <c r="D20" s="17" t="s">
        <v>88</v>
      </c>
      <c r="E20" s="17" t="s">
        <v>108</v>
      </c>
      <c r="F20" s="17" t="s">
        <v>90</v>
      </c>
      <c r="G20" s="17" t="s">
        <v>110</v>
      </c>
      <c r="H20" s="17" t="s">
        <v>92</v>
      </c>
      <c r="I20" s="17" t="s">
        <v>112</v>
      </c>
      <c r="J20" s="17" t="s">
        <v>94</v>
      </c>
      <c r="K20" s="17" t="s">
        <v>114</v>
      </c>
      <c r="L20" s="17" t="s">
        <v>96</v>
      </c>
      <c r="M20" s="17" t="s">
        <v>116</v>
      </c>
      <c r="N20" s="17" t="s">
        <v>98</v>
      </c>
      <c r="O20" s="17" t="s">
        <v>118</v>
      </c>
      <c r="P20" s="17" t="s">
        <v>125</v>
      </c>
      <c r="Q20" s="17" t="s">
        <v>124</v>
      </c>
      <c r="R20" s="7" t="s">
        <v>49</v>
      </c>
      <c r="S20" s="17" t="s">
        <v>126</v>
      </c>
      <c r="T20" s="17" t="s">
        <v>120</v>
      </c>
      <c r="U20" s="17" t="s">
        <v>127</v>
      </c>
      <c r="V20" s="17" t="s">
        <v>122</v>
      </c>
    </row>
    <row r="21" spans="1:22" x14ac:dyDescent="0.2">
      <c r="A21" s="7" t="s">
        <v>61</v>
      </c>
      <c r="B21" s="25">
        <v>85039</v>
      </c>
      <c r="C21" s="12">
        <v>14.245500000000003</v>
      </c>
      <c r="D21" s="18">
        <v>241790</v>
      </c>
      <c r="E21" s="12">
        <v>40.503900000000002</v>
      </c>
      <c r="F21" s="18">
        <v>91628</v>
      </c>
      <c r="G21" s="12">
        <v>15.349199999999996</v>
      </c>
      <c r="H21" s="18">
        <v>0</v>
      </c>
      <c r="I21" s="12">
        <v>0</v>
      </c>
      <c r="J21" s="18">
        <v>24166</v>
      </c>
      <c r="K21" s="12">
        <v>4.0483000000000002</v>
      </c>
      <c r="L21" s="18">
        <v>0</v>
      </c>
      <c r="M21" s="12">
        <v>0</v>
      </c>
      <c r="N21" s="18">
        <v>154331</v>
      </c>
      <c r="O21" s="12">
        <v>25.853100000000001</v>
      </c>
      <c r="P21" s="18">
        <v>0</v>
      </c>
      <c r="Q21" s="12">
        <v>0</v>
      </c>
      <c r="R21" s="7" t="s">
        <v>61</v>
      </c>
      <c r="S21" s="25">
        <v>392957</v>
      </c>
      <c r="T21" s="5">
        <v>97.477899999999991</v>
      </c>
      <c r="U21" s="18">
        <v>10167</v>
      </c>
      <c r="V21" s="5">
        <v>2.5221000000000089</v>
      </c>
    </row>
    <row r="22" spans="1:22" x14ac:dyDescent="0.2">
      <c r="A22" s="7" t="s">
        <v>62</v>
      </c>
      <c r="B22" s="25">
        <v>26901</v>
      </c>
      <c r="C22" s="12">
        <v>4.5267999999999944</v>
      </c>
      <c r="D22" s="18">
        <v>117549</v>
      </c>
      <c r="E22" s="12">
        <v>19.780900000000003</v>
      </c>
      <c r="F22" s="18">
        <v>449805</v>
      </c>
      <c r="G22" s="12">
        <v>75.692300000000003</v>
      </c>
      <c r="H22" s="18">
        <v>0</v>
      </c>
      <c r="I22" s="12">
        <v>0</v>
      </c>
      <c r="J22" s="18">
        <v>0</v>
      </c>
      <c r="K22" s="12">
        <v>0</v>
      </c>
      <c r="L22" s="18">
        <v>0</v>
      </c>
      <c r="M22" s="12">
        <v>0</v>
      </c>
      <c r="N22" s="18">
        <v>0</v>
      </c>
      <c r="O22" s="12">
        <v>0</v>
      </c>
      <c r="P22" s="18">
        <v>0</v>
      </c>
      <c r="Q22" s="12">
        <v>0</v>
      </c>
      <c r="R22" s="7" t="s">
        <v>62</v>
      </c>
      <c r="S22" s="25">
        <v>402174</v>
      </c>
      <c r="T22" s="12">
        <v>99.090789999999998</v>
      </c>
      <c r="U22" s="18">
        <v>3690</v>
      </c>
      <c r="V22" s="12">
        <v>0.90921000000000163</v>
      </c>
    </row>
    <row r="23" spans="1:22" x14ac:dyDescent="0.2">
      <c r="A23" s="7" t="s">
        <v>63</v>
      </c>
      <c r="B23" s="25">
        <v>14867</v>
      </c>
      <c r="C23" s="5">
        <v>3.4774000000000029</v>
      </c>
      <c r="D23" s="18">
        <v>12491</v>
      </c>
      <c r="E23" s="5">
        <v>2.9215999999999998</v>
      </c>
      <c r="F23" s="18">
        <v>400186</v>
      </c>
      <c r="G23" s="12">
        <v>93.600999999999999</v>
      </c>
      <c r="H23" s="18">
        <v>0</v>
      </c>
      <c r="I23" s="12">
        <v>0</v>
      </c>
      <c r="J23" s="18">
        <v>0</v>
      </c>
      <c r="K23" s="12">
        <v>0</v>
      </c>
      <c r="L23" s="18">
        <v>0</v>
      </c>
      <c r="M23" s="12">
        <v>0</v>
      </c>
      <c r="N23" s="18">
        <v>0</v>
      </c>
      <c r="O23" s="12">
        <v>0</v>
      </c>
      <c r="P23" s="18">
        <v>0</v>
      </c>
      <c r="Q23" s="12">
        <v>0</v>
      </c>
      <c r="R23" s="7" t="s">
        <v>63</v>
      </c>
      <c r="S23" s="25">
        <v>423264</v>
      </c>
      <c r="T23" s="12">
        <v>99.040729999999996</v>
      </c>
      <c r="U23" s="18">
        <v>4100</v>
      </c>
      <c r="V23" s="12">
        <v>0.95927000000000362</v>
      </c>
    </row>
    <row r="24" spans="1:22" x14ac:dyDescent="0.2">
      <c r="A24" s="7"/>
      <c r="B24" s="17"/>
      <c r="C24" s="5"/>
      <c r="D24" s="18"/>
      <c r="E24" s="5"/>
      <c r="F24" s="18"/>
      <c r="G24" s="5"/>
      <c r="H24" s="18"/>
      <c r="I24" s="5"/>
      <c r="J24" s="18"/>
      <c r="K24" s="5"/>
      <c r="L24" s="5"/>
      <c r="M24" s="5"/>
      <c r="N24" s="18"/>
      <c r="O24" s="5"/>
      <c r="P24" s="18"/>
      <c r="Q24" s="5"/>
      <c r="R24" s="7"/>
      <c r="S24" s="25"/>
      <c r="T24" s="5"/>
      <c r="U24" s="18"/>
      <c r="V24" s="5"/>
    </row>
    <row r="25" spans="1:22" x14ac:dyDescent="0.2">
      <c r="A25" s="7" t="s">
        <v>64</v>
      </c>
      <c r="B25" s="25">
        <v>95084</v>
      </c>
      <c r="C25" s="12">
        <v>13.575499999999991</v>
      </c>
      <c r="D25" s="18">
        <v>77737</v>
      </c>
      <c r="E25" s="12">
        <v>11.098800000000001</v>
      </c>
      <c r="F25" s="18">
        <v>527586</v>
      </c>
      <c r="G25" s="12">
        <v>75.325700000000012</v>
      </c>
      <c r="H25" s="18">
        <v>0</v>
      </c>
      <c r="I25" s="12">
        <v>0</v>
      </c>
      <c r="J25" s="18">
        <v>0</v>
      </c>
      <c r="K25" s="12">
        <v>0</v>
      </c>
      <c r="L25" s="18">
        <v>0</v>
      </c>
      <c r="M25" s="12">
        <v>0</v>
      </c>
      <c r="N25" s="18">
        <v>0</v>
      </c>
      <c r="O25" s="12">
        <v>0</v>
      </c>
      <c r="P25" s="18">
        <v>0</v>
      </c>
      <c r="Q25" s="12">
        <v>0</v>
      </c>
      <c r="R25" s="7" t="s">
        <v>64</v>
      </c>
      <c r="S25" s="25">
        <v>297326</v>
      </c>
      <c r="T25" s="5">
        <v>99.162899999999993</v>
      </c>
      <c r="U25" s="18">
        <v>2510</v>
      </c>
      <c r="V25" s="5">
        <v>0.83710000000000662</v>
      </c>
    </row>
    <row r="26" spans="1:22" x14ac:dyDescent="0.2">
      <c r="A26" s="7" t="s">
        <v>65</v>
      </c>
      <c r="B26" s="43" t="s">
        <v>100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  <c r="R26" s="7" t="s">
        <v>65</v>
      </c>
      <c r="S26" s="43" t="s">
        <v>100</v>
      </c>
      <c r="T26" s="43"/>
      <c r="U26" s="43"/>
      <c r="V26" s="44"/>
    </row>
    <row r="27" spans="1:22" x14ac:dyDescent="0.2">
      <c r="A27" s="7" t="s">
        <v>66</v>
      </c>
      <c r="B27" s="25">
        <v>75005</v>
      </c>
      <c r="C27" s="12">
        <v>12.620900000000006</v>
      </c>
      <c r="D27" s="18">
        <v>73072</v>
      </c>
      <c r="E27" s="12">
        <v>12.2957</v>
      </c>
      <c r="F27" s="18">
        <v>0</v>
      </c>
      <c r="G27" s="12">
        <v>0</v>
      </c>
      <c r="H27" s="18">
        <v>0</v>
      </c>
      <c r="I27" s="12">
        <v>0</v>
      </c>
      <c r="J27" s="18">
        <v>0</v>
      </c>
      <c r="K27" s="12">
        <v>0</v>
      </c>
      <c r="L27" s="18">
        <v>0</v>
      </c>
      <c r="M27" s="12">
        <v>0</v>
      </c>
      <c r="N27" s="18">
        <v>446215</v>
      </c>
      <c r="O27" s="12">
        <v>75.083399999999997</v>
      </c>
      <c r="P27" s="18">
        <v>0</v>
      </c>
      <c r="Q27" s="12">
        <v>0</v>
      </c>
      <c r="R27" s="7" t="s">
        <v>66</v>
      </c>
      <c r="S27" s="25">
        <v>402081</v>
      </c>
      <c r="T27" s="12">
        <v>99.088929999999991</v>
      </c>
      <c r="U27" s="18">
        <v>3697</v>
      </c>
      <c r="V27" s="12">
        <v>0.91107000000000937</v>
      </c>
    </row>
    <row r="28" spans="1:22" x14ac:dyDescent="0.2">
      <c r="A28" s="7"/>
      <c r="B28" s="1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7"/>
      <c r="S28" s="17"/>
      <c r="T28" s="5"/>
      <c r="U28" s="5"/>
      <c r="V28" s="5"/>
    </row>
    <row r="29" spans="1:22" x14ac:dyDescent="0.2">
      <c r="A29" s="7" t="s">
        <v>67</v>
      </c>
      <c r="B29" s="43" t="s">
        <v>100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/>
      <c r="R29" s="7" t="s">
        <v>67</v>
      </c>
      <c r="S29" s="43" t="s">
        <v>100</v>
      </c>
      <c r="T29" s="43"/>
      <c r="U29" s="43"/>
      <c r="V29" s="44"/>
    </row>
    <row r="30" spans="1:22" x14ac:dyDescent="0.2">
      <c r="A30" s="7" t="s">
        <v>78</v>
      </c>
      <c r="B30" s="25">
        <v>83482</v>
      </c>
      <c r="C30" s="12">
        <v>13.254999999999995</v>
      </c>
      <c r="D30" s="18">
        <v>102294</v>
      </c>
      <c r="E30" s="12">
        <v>16.242000000000001</v>
      </c>
      <c r="F30" s="18">
        <v>0</v>
      </c>
      <c r="G30" s="12">
        <v>0</v>
      </c>
      <c r="H30" s="18">
        <v>0</v>
      </c>
      <c r="I30" s="12">
        <v>0</v>
      </c>
      <c r="J30" s="18">
        <v>0</v>
      </c>
      <c r="K30" s="12">
        <v>0</v>
      </c>
      <c r="L30" s="18">
        <v>0</v>
      </c>
      <c r="M30" s="12">
        <v>0</v>
      </c>
      <c r="N30" s="18">
        <v>444038</v>
      </c>
      <c r="O30" s="12">
        <v>70.503</v>
      </c>
      <c r="P30" s="18">
        <v>0</v>
      </c>
      <c r="Q30" s="12">
        <v>0</v>
      </c>
      <c r="R30" s="7" t="s">
        <v>78</v>
      </c>
      <c r="S30" s="25">
        <v>368172</v>
      </c>
      <c r="T30" s="5">
        <v>99.43610000000001</v>
      </c>
      <c r="U30" s="18">
        <v>2088</v>
      </c>
      <c r="V30" s="5">
        <v>0.56389999999998963</v>
      </c>
    </row>
    <row r="31" spans="1:22" x14ac:dyDescent="0.2">
      <c r="A31" s="7" t="s">
        <v>80</v>
      </c>
      <c r="B31" s="25">
        <v>436650</v>
      </c>
      <c r="C31" s="12">
        <v>73.45920000000001</v>
      </c>
      <c r="D31" s="18">
        <v>69686</v>
      </c>
      <c r="E31" s="12">
        <v>11.723500000000001</v>
      </c>
      <c r="F31" s="18">
        <v>88076</v>
      </c>
      <c r="G31" s="12">
        <v>14.817299999999996</v>
      </c>
      <c r="H31" s="18">
        <v>0</v>
      </c>
      <c r="I31" s="12">
        <v>0</v>
      </c>
      <c r="J31" s="18">
        <v>0</v>
      </c>
      <c r="K31" s="12">
        <v>0</v>
      </c>
      <c r="L31" s="18">
        <v>0</v>
      </c>
      <c r="M31" s="12">
        <v>0</v>
      </c>
      <c r="N31" s="18">
        <v>0</v>
      </c>
      <c r="O31" s="12">
        <v>0</v>
      </c>
      <c r="P31" s="18">
        <v>0</v>
      </c>
      <c r="Q31" s="12">
        <v>0</v>
      </c>
      <c r="R31" s="7" t="s">
        <v>80</v>
      </c>
      <c r="S31" s="25">
        <v>347216</v>
      </c>
      <c r="T31" s="5">
        <v>85.5916</v>
      </c>
      <c r="U31" s="18">
        <v>58450</v>
      </c>
      <c r="V31" s="5">
        <v>14.4084</v>
      </c>
    </row>
    <row r="32" spans="1:22" x14ac:dyDescent="0.2">
      <c r="A32" s="7"/>
      <c r="B32" s="17"/>
      <c r="C32" s="5"/>
      <c r="D32" s="18"/>
      <c r="E32" s="5"/>
      <c r="F32" s="5"/>
      <c r="G32" s="5"/>
      <c r="H32" s="18"/>
      <c r="I32" s="5"/>
      <c r="J32" s="18"/>
      <c r="K32" s="5"/>
      <c r="L32" s="18"/>
      <c r="M32" s="5"/>
      <c r="N32" s="5"/>
      <c r="O32" s="5"/>
      <c r="P32" s="18"/>
      <c r="Q32" s="5"/>
      <c r="R32" s="7"/>
      <c r="S32" s="25"/>
      <c r="T32" s="5"/>
      <c r="U32" s="18"/>
      <c r="V32" s="5"/>
    </row>
    <row r="33" spans="1:22" x14ac:dyDescent="0.2">
      <c r="A33" s="7" t="s">
        <v>69</v>
      </c>
      <c r="B33" s="25">
        <v>109890</v>
      </c>
      <c r="C33" s="12">
        <v>16.746300000000012</v>
      </c>
      <c r="D33" s="18">
        <v>7246</v>
      </c>
      <c r="E33" s="12">
        <v>1.1042000000000001</v>
      </c>
      <c r="F33" s="18">
        <v>539068</v>
      </c>
      <c r="G33" s="12">
        <v>82.149499999999989</v>
      </c>
      <c r="H33" s="18">
        <v>0</v>
      </c>
      <c r="I33" s="12">
        <v>0</v>
      </c>
      <c r="J33" s="18">
        <v>0</v>
      </c>
      <c r="K33" s="12">
        <v>0</v>
      </c>
      <c r="L33" s="18">
        <v>0</v>
      </c>
      <c r="M33" s="12">
        <v>0</v>
      </c>
      <c r="N33" s="18">
        <v>0</v>
      </c>
      <c r="O33" s="12">
        <v>0</v>
      </c>
      <c r="P33" s="18">
        <v>0</v>
      </c>
      <c r="Q33" s="12">
        <v>0</v>
      </c>
      <c r="R33" s="7" t="s">
        <v>69</v>
      </c>
      <c r="S33" s="25">
        <v>326902</v>
      </c>
      <c r="T33" s="5">
        <v>95.069699999999997</v>
      </c>
      <c r="U33" s="18">
        <v>16953</v>
      </c>
      <c r="V33" s="5">
        <v>4.9303000000000026</v>
      </c>
    </row>
    <row r="34" spans="1:22" x14ac:dyDescent="0.2">
      <c r="A34" s="7" t="s">
        <v>70</v>
      </c>
      <c r="B34" s="43" t="s">
        <v>100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7" t="s">
        <v>70</v>
      </c>
      <c r="S34" s="43" t="s">
        <v>100</v>
      </c>
      <c r="T34" s="43"/>
      <c r="U34" s="43"/>
      <c r="V34" s="44"/>
    </row>
    <row r="35" spans="1:22" x14ac:dyDescent="0.2">
      <c r="A35" s="7" t="s">
        <v>68</v>
      </c>
      <c r="B35" s="43" t="s">
        <v>100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/>
      <c r="R35" s="7" t="s">
        <v>68</v>
      </c>
      <c r="S35" s="43" t="s">
        <v>100</v>
      </c>
      <c r="T35" s="43"/>
      <c r="U35" s="43"/>
      <c r="V35" s="44"/>
    </row>
    <row r="37" spans="1:22" ht="15.75" x14ac:dyDescent="0.25">
      <c r="A37" s="9" t="s">
        <v>71</v>
      </c>
      <c r="B37" s="9"/>
    </row>
  </sheetData>
  <mergeCells count="17">
    <mergeCell ref="A1:V1"/>
    <mergeCell ref="B3:Q3"/>
    <mergeCell ref="B5:Q5"/>
    <mergeCell ref="B16:Q16"/>
    <mergeCell ref="B17:Q17"/>
    <mergeCell ref="S16:V16"/>
    <mergeCell ref="S17:V17"/>
    <mergeCell ref="S5:V5"/>
    <mergeCell ref="S3:V3"/>
    <mergeCell ref="B26:Q26"/>
    <mergeCell ref="B29:Q29"/>
    <mergeCell ref="B34:Q34"/>
    <mergeCell ref="B35:Q35"/>
    <mergeCell ref="S34:V34"/>
    <mergeCell ref="S35:V35"/>
    <mergeCell ref="S29:V29"/>
    <mergeCell ref="S26:V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Figure5a</vt:lpstr>
      <vt:lpstr>Figure5b</vt:lpstr>
      <vt:lpstr>Figure5c-5d</vt:lpstr>
      <vt:lpstr>Figure5e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2026-05-27T07:51:08Z</dcterms:modified>
</cp:coreProperties>
</file>