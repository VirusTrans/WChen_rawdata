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Figure2a-d" sheetId="1" r:id="rId1"/>
    <sheet name="Figure2e" sheetId="2" r:id="rId2"/>
    <sheet name="Figure2f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AE37" i="1" l="1"/>
  <c r="W37" i="1"/>
  <c r="O37" i="1"/>
  <c r="G37" i="1"/>
  <c r="AE36" i="1"/>
  <c r="W36" i="1"/>
  <c r="O36" i="1"/>
  <c r="G36" i="1"/>
  <c r="AE35" i="1"/>
  <c r="W35" i="1"/>
  <c r="O35" i="1"/>
  <c r="G35" i="1"/>
  <c r="AE34" i="1"/>
  <c r="W34" i="1"/>
  <c r="O34" i="1"/>
  <c r="G34" i="1"/>
  <c r="AE33" i="1"/>
  <c r="W33" i="1"/>
  <c r="O33" i="1"/>
  <c r="G33" i="1"/>
  <c r="AE32" i="1"/>
  <c r="W32" i="1"/>
  <c r="O32" i="1"/>
  <c r="G32" i="1"/>
  <c r="AE31" i="1"/>
  <c r="W31" i="1"/>
  <c r="O31" i="1"/>
  <c r="G31" i="1"/>
  <c r="AE30" i="1"/>
  <c r="W30" i="1"/>
  <c r="O30" i="1"/>
  <c r="G30" i="1"/>
  <c r="AE29" i="1"/>
  <c r="W29" i="1"/>
  <c r="O29" i="1"/>
  <c r="G29" i="1"/>
  <c r="AE28" i="1"/>
  <c r="W28" i="1"/>
  <c r="O28" i="1"/>
  <c r="G28" i="1"/>
  <c r="AE27" i="1"/>
  <c r="W27" i="1"/>
  <c r="O27" i="1"/>
  <c r="G27" i="1"/>
  <c r="AE26" i="1"/>
  <c r="W26" i="1"/>
  <c r="O26" i="1"/>
  <c r="G26" i="1"/>
  <c r="AE25" i="1"/>
  <c r="W25" i="1"/>
  <c r="O25" i="1"/>
  <c r="G25" i="1"/>
  <c r="AE24" i="1"/>
  <c r="W24" i="1"/>
  <c r="O24" i="1"/>
  <c r="G24" i="1"/>
  <c r="AE23" i="1"/>
  <c r="W23" i="1"/>
  <c r="O23" i="1"/>
  <c r="G23" i="1"/>
  <c r="AE22" i="1"/>
  <c r="W22" i="1"/>
  <c r="O22" i="1"/>
  <c r="G22" i="1"/>
  <c r="AE21" i="1"/>
  <c r="W21" i="1"/>
  <c r="O21" i="1"/>
  <c r="G21" i="1"/>
  <c r="AE20" i="1"/>
  <c r="W20" i="1"/>
  <c r="O20" i="1"/>
  <c r="G20" i="1"/>
  <c r="AE19" i="1"/>
  <c r="W19" i="1"/>
  <c r="O19" i="1"/>
  <c r="G19" i="1"/>
  <c r="AE18" i="1"/>
  <c r="W18" i="1"/>
  <c r="O18" i="1"/>
  <c r="G18" i="1"/>
  <c r="AE17" i="1"/>
  <c r="W17" i="1"/>
  <c r="O17" i="1"/>
  <c r="G17" i="1"/>
  <c r="AE16" i="1"/>
  <c r="W16" i="1"/>
  <c r="O16" i="1"/>
  <c r="G16" i="1"/>
  <c r="AE15" i="1"/>
  <c r="W15" i="1"/>
  <c r="O15" i="1"/>
  <c r="G15" i="1"/>
  <c r="AE14" i="1"/>
  <c r="W14" i="1"/>
  <c r="O14" i="1"/>
  <c r="AE11" i="1"/>
  <c r="W11" i="1"/>
  <c r="O11" i="1"/>
  <c r="G11" i="1"/>
  <c r="AE10" i="1"/>
  <c r="W10" i="1"/>
  <c r="O10" i="1"/>
  <c r="G10" i="1"/>
  <c r="AE9" i="1"/>
  <c r="W9" i="1"/>
  <c r="O9" i="1"/>
  <c r="G9" i="1"/>
  <c r="AE8" i="1"/>
  <c r="W8" i="1"/>
  <c r="O8" i="1"/>
  <c r="G8" i="1"/>
  <c r="AE7" i="1"/>
  <c r="W7" i="1"/>
  <c r="O7" i="1"/>
  <c r="G7" i="1"/>
  <c r="AE6" i="1"/>
  <c r="W6" i="1"/>
  <c r="O6" i="1"/>
  <c r="G6" i="1"/>
  <c r="AE5" i="1"/>
  <c r="W5" i="1"/>
  <c r="O5" i="1"/>
  <c r="G5" i="1"/>
  <c r="AE4" i="1"/>
  <c r="W4" i="1"/>
  <c r="O4" i="1"/>
  <c r="G4" i="1"/>
  <c r="AE3" i="1"/>
  <c r="W3" i="1"/>
  <c r="O3" i="1"/>
  <c r="G3" i="1"/>
</calcChain>
</file>

<file path=xl/sharedStrings.xml><?xml version="1.0" encoding="utf-8"?>
<sst xmlns="http://schemas.openxmlformats.org/spreadsheetml/2006/main" count="514" uniqueCount="166">
  <si>
    <t>Naïve_donor</t>
    <phoneticPr fontId="1" type="noConversion"/>
  </si>
  <si>
    <t>Sample</t>
    <phoneticPr fontId="1" type="noConversion"/>
  </si>
  <si>
    <t>Reporter</t>
  </si>
  <si>
    <t>Quencher</t>
  </si>
  <si>
    <t>FAM</t>
  </si>
  <si>
    <t>TAMRA</t>
  </si>
  <si>
    <t>Naïve_contact</t>
  </si>
  <si>
    <t>Sample</t>
  </si>
  <si>
    <t>Donor</t>
  </si>
  <si>
    <t>SS vax</t>
  </si>
  <si>
    <t>BJ16 vax</t>
  </si>
  <si>
    <t>BJ16 NI</t>
  </si>
  <si>
    <t>Replicate-1</t>
  </si>
  <si>
    <t>Replicate-1</t>
    <phoneticPr fontId="1" type="noConversion"/>
  </si>
  <si>
    <t>Replicate-2</t>
  </si>
  <si>
    <t>Replicate-2</t>
    <phoneticPr fontId="1" type="noConversion"/>
  </si>
  <si>
    <t>Replicate-3</t>
  </si>
  <si>
    <t>Replicate-3</t>
    <phoneticPr fontId="1" type="noConversion"/>
  </si>
  <si>
    <t>Contact</t>
    <phoneticPr fontId="1" type="noConversion"/>
  </si>
  <si>
    <t>SS vax_donor</t>
    <phoneticPr fontId="1" type="noConversion"/>
  </si>
  <si>
    <t>SS vax_contact</t>
    <phoneticPr fontId="1" type="noConversion"/>
  </si>
  <si>
    <t>BJ16 vax_donor</t>
    <phoneticPr fontId="1" type="noConversion"/>
  </si>
  <si>
    <t>BJ16 vax_contact</t>
    <phoneticPr fontId="1" type="noConversion"/>
  </si>
  <si>
    <t>BJ16 NI_donor</t>
    <phoneticPr fontId="1" type="noConversion"/>
  </si>
  <si>
    <t>BJ16 NI_contact</t>
    <phoneticPr fontId="1" type="noConversion"/>
  </si>
  <si>
    <t>1dpi OS-10</t>
    <phoneticPr fontId="1" type="noConversion"/>
  </si>
  <si>
    <t>1dpi OS-11</t>
    <phoneticPr fontId="1" type="noConversion"/>
  </si>
  <si>
    <t>1dpi OS-12</t>
    <phoneticPr fontId="1" type="noConversion"/>
  </si>
  <si>
    <t>2dpi OS-10</t>
    <phoneticPr fontId="1" type="noConversion"/>
  </si>
  <si>
    <t>2dpi OS-11</t>
    <phoneticPr fontId="1" type="noConversion"/>
  </si>
  <si>
    <t>2dpi OS-12</t>
    <phoneticPr fontId="1" type="noConversion"/>
  </si>
  <si>
    <t>3dpi OS-10</t>
    <phoneticPr fontId="1" type="noConversion"/>
  </si>
  <si>
    <t>3dpi OS-11</t>
    <phoneticPr fontId="1" type="noConversion"/>
  </si>
  <si>
    <t>3dpi OS-12</t>
    <phoneticPr fontId="1" type="noConversion"/>
  </si>
  <si>
    <t>Ct</t>
  </si>
  <si>
    <t>Copies/2μL</t>
  </si>
  <si>
    <t>Copies/mL</t>
  </si>
  <si>
    <t>Copies/mL</t>
    <phoneticPr fontId="1" type="noConversion"/>
  </si>
  <si>
    <r>
      <t>Log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copies/mL</t>
    </r>
    <phoneticPr fontId="1" type="noConversion"/>
  </si>
  <si>
    <t>NA</t>
    <phoneticPr fontId="1" type="noConversion"/>
  </si>
  <si>
    <t>RNA was extracted from 250 μL of oral swab sample and dissolved in 30 μL of RNase-free water. NA indicates that the M fragment could not be successfully amplified from the sample.</t>
  </si>
  <si>
    <t>Naïve</t>
    <phoneticPr fontId="1" type="noConversion"/>
  </si>
  <si>
    <t>Copies/2μL</t>
    <phoneticPr fontId="1" type="noConversion"/>
  </si>
  <si>
    <t>1dpi OS-Ck1</t>
  </si>
  <si>
    <t>1dpi OS-Ck4</t>
  </si>
  <si>
    <t>1dpi OS-Ck7</t>
  </si>
  <si>
    <t>1dpi OS-Ck2</t>
  </si>
  <si>
    <t>1dpi OS-Ck5</t>
  </si>
  <si>
    <t>1dpi OS-Ck8</t>
  </si>
  <si>
    <t>1dpi OS-Ck3</t>
  </si>
  <si>
    <t>1dpi OS-Ck6</t>
  </si>
  <si>
    <t>1dpi OS-Ck9</t>
  </si>
  <si>
    <t>2dpi OS-Ck1</t>
  </si>
  <si>
    <t>2dpi OS-Ck4</t>
  </si>
  <si>
    <t>2dpi OS-Ck7</t>
  </si>
  <si>
    <t>2dpi OS-Ck2</t>
  </si>
  <si>
    <t>2dpi OS-Ck5</t>
  </si>
  <si>
    <t>2dpi OS-Ck8</t>
  </si>
  <si>
    <t>2dpi OS-Ck3</t>
  </si>
  <si>
    <t>2dpi OS-Ck6</t>
  </si>
  <si>
    <t>2dpi OS-Ck9</t>
  </si>
  <si>
    <t>3dpi OS-Ck1</t>
  </si>
  <si>
    <t>3dpi OS-Ck4</t>
  </si>
  <si>
    <t>3dpi OS-Ck7</t>
  </si>
  <si>
    <t>3dpi OS-Ck2</t>
  </si>
  <si>
    <t>3dpi OS-Ck5</t>
  </si>
  <si>
    <t>3dpi OS-Ck8</t>
  </si>
  <si>
    <t>3dpi OS-Ck3</t>
  </si>
  <si>
    <t>3dpi OS-Ck6</t>
  </si>
  <si>
    <t>3dpi OS-Ck9</t>
  </si>
  <si>
    <t>1dpe OS-Ck13</t>
  </si>
  <si>
    <t>1dpe OS-Ck16</t>
  </si>
  <si>
    <t>1dpe OS-Ck19</t>
  </si>
  <si>
    <t>1dpe OS-Ck22</t>
  </si>
  <si>
    <t>1dpe OS-Ck14</t>
  </si>
  <si>
    <t>1dpe OS-Ck17</t>
  </si>
  <si>
    <t>1dpe OS-Ck20</t>
  </si>
  <si>
    <t>1dpe OS-Ck23</t>
  </si>
  <si>
    <t>1dpe OS-Ck15</t>
  </si>
  <si>
    <t>1dpe OS-Ck18</t>
  </si>
  <si>
    <t>1dpe OS-Ck21</t>
  </si>
  <si>
    <t>1dpe OS-Ck24</t>
  </si>
  <si>
    <t>2dpe OS-Ck13</t>
  </si>
  <si>
    <t>2dpe OS-Ck16</t>
  </si>
  <si>
    <t>2dpe OS-Ck19</t>
  </si>
  <si>
    <t>2dpe OS-Ck22</t>
  </si>
  <si>
    <t>2dpe OS-Ck14</t>
  </si>
  <si>
    <t>2dpe OS-Ck17</t>
  </si>
  <si>
    <t>2dpe OS-Ck20</t>
  </si>
  <si>
    <t>2dpe OS-Ck23</t>
  </si>
  <si>
    <t>2dpe OS-Ck15</t>
  </si>
  <si>
    <t>2dpe OS-Ck18</t>
  </si>
  <si>
    <t>2dpe OS-Ck21</t>
  </si>
  <si>
    <t>2dpe OS-Ck24</t>
  </si>
  <si>
    <t>3dpe OS-Ck13</t>
  </si>
  <si>
    <t>3dpe OS-Ck16</t>
  </si>
  <si>
    <t>3dpe OS-Ck19</t>
  </si>
  <si>
    <t>3dpe OS-Ck22</t>
  </si>
  <si>
    <t>3dpe OS-Ck14</t>
  </si>
  <si>
    <t>3dpe OS-Ck17</t>
  </si>
  <si>
    <t>3dpe OS-Ck20</t>
  </si>
  <si>
    <t>3dpe OS-Ck23</t>
  </si>
  <si>
    <t>3dpe OS-Ck15</t>
  </si>
  <si>
    <t>3dpe OS-Ck18</t>
  </si>
  <si>
    <t>3dpe OS-Ck21</t>
  </si>
  <si>
    <t>3dpe OS-Ck24</t>
  </si>
  <si>
    <t>4dpe OS-Ck13</t>
  </si>
  <si>
    <t>4dpe OS-Ck16</t>
  </si>
  <si>
    <t>4dpe OS-Ck19</t>
  </si>
  <si>
    <t>4dpe OS-Ck22</t>
  </si>
  <si>
    <t>4dpe OS-Ck14</t>
  </si>
  <si>
    <t>4dpe OS-Ck17</t>
  </si>
  <si>
    <t>4dpe OS-Ck20</t>
  </si>
  <si>
    <t>4dpe OS-Ck23</t>
  </si>
  <si>
    <t>4dpe OS-Ck15</t>
  </si>
  <si>
    <t>4dpe OS-Ck18</t>
  </si>
  <si>
    <t>4dpe OS-Ck21</t>
  </si>
  <si>
    <t>4dpe OS-Ck24</t>
  </si>
  <si>
    <t>5dpe OS-Ck13</t>
  </si>
  <si>
    <t>5dpe OS-Ck16</t>
  </si>
  <si>
    <t>5dpe OS-Ck19</t>
  </si>
  <si>
    <t>5dpe OS-Ck22</t>
  </si>
  <si>
    <t>5dpe OS-Ck14</t>
  </si>
  <si>
    <t>5dpe OS-Ck17</t>
  </si>
  <si>
    <t>5dpe OS-Ck20</t>
  </si>
  <si>
    <t>5dpe OS-Ck23</t>
  </si>
  <si>
    <t>5dpe OS-Ck15</t>
  </si>
  <si>
    <t>5dpe OS-Ck18</t>
  </si>
  <si>
    <t>5dpe OS-Ck21</t>
  </si>
  <si>
    <t>5dpe OS-Ck24</t>
  </si>
  <si>
    <t>6dpe OS-Ck13</t>
  </si>
  <si>
    <t>6dpe OS-Ck16</t>
  </si>
  <si>
    <t>6dpe OS-Ck19</t>
  </si>
  <si>
    <t>6dpe OS-Ck22</t>
  </si>
  <si>
    <t>6dpe OS-Ck14</t>
  </si>
  <si>
    <t>6dpe OS-Ck17</t>
  </si>
  <si>
    <t>6dpe OS-Ck20</t>
  </si>
  <si>
    <t>6dpe OS-Ck23</t>
  </si>
  <si>
    <t>6dpe OS-Ck15</t>
  </si>
  <si>
    <t>6dpe OS-Ck18</t>
  </si>
  <si>
    <t>6dpe OS-Ck21</t>
  </si>
  <si>
    <t>6dpe OS-Ck24</t>
  </si>
  <si>
    <t>7dpe OS-Ck13</t>
  </si>
  <si>
    <t>7dpe OS-Ck16</t>
  </si>
  <si>
    <t>7dpe OS-Ck19</t>
  </si>
  <si>
    <t>7dpe OS-Ck22</t>
  </si>
  <si>
    <t>7dpe OS-Ck14</t>
  </si>
  <si>
    <t>7dpe OS-Ck17</t>
  </si>
  <si>
    <t>7dpe OS-Ck20</t>
  </si>
  <si>
    <t>7dpe OS-Ck23</t>
  </si>
  <si>
    <t>7dpe OS-Ck15</t>
  </si>
  <si>
    <t>7dpe OS-Ck18</t>
  </si>
  <si>
    <t>7dpe OS-Ck21</t>
  </si>
  <si>
    <t>7dpe OS-Ck24</t>
  </si>
  <si>
    <t>9dpe OS-Ck13</t>
  </si>
  <si>
    <t>9dpe OS-Ck16</t>
  </si>
  <si>
    <t>9dpe OS-Ck19</t>
  </si>
  <si>
    <t>9dpe OS-Ck22</t>
  </si>
  <si>
    <t>9dpe OS-Ck14</t>
  </si>
  <si>
    <t>9dpe OS-Ck17</t>
  </si>
  <si>
    <t>9dpe OS-Ck20</t>
  </si>
  <si>
    <t>9dpe OS-Ck23</t>
  </si>
  <si>
    <t>9dpe OS-Ck15</t>
  </si>
  <si>
    <t>9dpe OS-Ck18</t>
  </si>
  <si>
    <t>9dpe OS-Ck21</t>
  </si>
  <si>
    <t>9dpe OS-Ck24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</si>
</sst>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2" fillId="0" borderId="4" xfId="0" applyNumberFormat="1" applyFont="1" applyBorder="1" applyAlignment="1">
      <alignment horizontal="left"/>
    </xf>
    <xf numFmtId="0" fontId="2" fillId="0" borderId="4" xfId="0" applyFont="1" applyBorder="1"/>
    <xf numFmtId="0" fontId="2" fillId="0" borderId="0" xfId="0" applyFont="1"/>
    <xf numFmtId="0" fontId="2" fillId="0" borderId="4" xfId="0" applyFont="1" applyBorder="1" applyAlignment="1">
      <alignment horizontal="left"/>
    </xf>
    <xf numFmtId="1" fontId="2" fillId="0" borderId="4" xfId="0" applyNumberFormat="1" applyFont="1" applyBorder="1" applyAlignment="1">
      <alignment horizontal="left"/>
    </xf>
    <xf numFmtId="177" fontId="2" fillId="0" borderId="4" xfId="0" applyNumberFormat="1" applyFont="1" applyBorder="1" applyAlignment="1">
      <alignment horizontal="left"/>
    </xf>
    <xf numFmtId="176" fontId="2" fillId="2" borderId="1" xfId="0" applyNumberFormat="1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center"/>
    </xf>
    <xf numFmtId="176" fontId="2" fillId="2" borderId="3" xfId="0" applyNumberFormat="1" applyFont="1" applyFill="1" applyBorder="1" applyAlignment="1">
      <alignment horizontal="center"/>
    </xf>
    <xf numFmtId="176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9"/>
  <sheetViews>
    <sheetView workbookViewId="0">
      <selection activeCell="L16" sqref="L16"/>
    </sheetView>
  </sheetViews>
  <sheetFormatPr defaultRowHeight="15" x14ac:dyDescent="0.25"/>
  <cols>
    <col min="1" max="1" width="13.75" style="3" customWidth="1"/>
    <col min="2" max="2" width="8" style="3" customWidth="1"/>
    <col min="3" max="3" width="8.625" style="3" customWidth="1"/>
    <col min="4" max="4" width="7.5" style="3" customWidth="1"/>
    <col min="5" max="5" width="11.125" style="3" customWidth="1"/>
    <col min="6" max="6" width="12.625" style="3" customWidth="1"/>
    <col min="7" max="7" width="13.125" style="3" customWidth="1"/>
    <col min="8" max="8" width="6.375" style="3" customWidth="1"/>
    <col min="9" max="9" width="13.25" style="3" customWidth="1"/>
    <col min="10" max="10" width="9.75" style="3" customWidth="1"/>
    <col min="11" max="11" width="9.375" style="3" customWidth="1"/>
    <col min="12" max="12" width="6.625" style="3" customWidth="1"/>
    <col min="13" max="13" width="10.625" style="3" customWidth="1"/>
    <col min="14" max="14" width="12.375" style="3" customWidth="1"/>
    <col min="15" max="15" width="12.875" style="3" customWidth="1"/>
    <col min="16" max="16" width="10" style="3" customWidth="1"/>
    <col min="17" max="17" width="13.875" style="3" customWidth="1"/>
    <col min="18" max="19" width="9" style="3"/>
    <col min="20" max="20" width="6.125" style="3" customWidth="1"/>
    <col min="21" max="21" width="11.25" style="3" customWidth="1"/>
    <col min="22" max="22" width="11" style="3" bestFit="1" customWidth="1"/>
    <col min="23" max="23" width="12.625" style="3" customWidth="1"/>
    <col min="24" max="24" width="9.125" style="3" customWidth="1"/>
    <col min="25" max="25" width="13.75" style="3" customWidth="1"/>
    <col min="26" max="27" width="9" style="3"/>
    <col min="28" max="28" width="6" style="3" customWidth="1"/>
    <col min="29" max="29" width="11" style="3" customWidth="1"/>
    <col min="30" max="30" width="10.375" style="3" customWidth="1"/>
    <col min="31" max="31" width="12.625" style="3" customWidth="1"/>
    <col min="32" max="16384" width="9" style="3"/>
  </cols>
  <sheetData>
    <row r="1" spans="1:31" x14ac:dyDescent="0.25">
      <c r="A1" s="7" t="s">
        <v>0</v>
      </c>
      <c r="B1" s="8"/>
      <c r="C1" s="8"/>
      <c r="D1" s="8"/>
      <c r="E1" s="8"/>
      <c r="F1" s="8"/>
      <c r="G1" s="9"/>
      <c r="H1" s="1"/>
      <c r="I1" s="7" t="s">
        <v>19</v>
      </c>
      <c r="J1" s="8"/>
      <c r="K1" s="8"/>
      <c r="L1" s="8"/>
      <c r="M1" s="8"/>
      <c r="N1" s="8"/>
      <c r="O1" s="9"/>
      <c r="P1" s="1"/>
      <c r="Q1" s="7" t="s">
        <v>21</v>
      </c>
      <c r="R1" s="8"/>
      <c r="S1" s="8"/>
      <c r="T1" s="8"/>
      <c r="U1" s="8"/>
      <c r="V1" s="8"/>
      <c r="W1" s="9"/>
      <c r="X1" s="2"/>
      <c r="Y1" s="10" t="s">
        <v>23</v>
      </c>
      <c r="Z1" s="10"/>
      <c r="AA1" s="10"/>
      <c r="AB1" s="10"/>
      <c r="AC1" s="10"/>
      <c r="AD1" s="10"/>
      <c r="AE1" s="10"/>
    </row>
    <row r="2" spans="1:31" ht="16.5" x14ac:dyDescent="0.3">
      <c r="A2" s="1" t="s">
        <v>1</v>
      </c>
      <c r="B2" s="1" t="s">
        <v>2</v>
      </c>
      <c r="C2" s="1" t="s">
        <v>3</v>
      </c>
      <c r="D2" s="1" t="s">
        <v>34</v>
      </c>
      <c r="E2" s="1" t="s">
        <v>42</v>
      </c>
      <c r="F2" s="1" t="s">
        <v>37</v>
      </c>
      <c r="G2" s="1" t="s">
        <v>38</v>
      </c>
      <c r="H2" s="1"/>
      <c r="I2" s="1" t="s">
        <v>7</v>
      </c>
      <c r="J2" s="1" t="s">
        <v>2</v>
      </c>
      <c r="K2" s="1" t="s">
        <v>3</v>
      </c>
      <c r="L2" s="1" t="s">
        <v>34</v>
      </c>
      <c r="M2" s="1" t="s">
        <v>35</v>
      </c>
      <c r="N2" s="1" t="s">
        <v>36</v>
      </c>
      <c r="O2" s="1" t="s">
        <v>38</v>
      </c>
      <c r="P2" s="1"/>
      <c r="Q2" s="1" t="s">
        <v>7</v>
      </c>
      <c r="R2" s="1" t="s">
        <v>2</v>
      </c>
      <c r="S2" s="1" t="s">
        <v>3</v>
      </c>
      <c r="T2" s="1" t="s">
        <v>34</v>
      </c>
      <c r="U2" s="1" t="s">
        <v>35</v>
      </c>
      <c r="V2" s="1" t="s">
        <v>36</v>
      </c>
      <c r="W2" s="1" t="s">
        <v>38</v>
      </c>
      <c r="X2" s="2"/>
      <c r="Y2" s="1" t="s">
        <v>7</v>
      </c>
      <c r="Z2" s="1" t="s">
        <v>2</v>
      </c>
      <c r="AA2" s="1" t="s">
        <v>3</v>
      </c>
      <c r="AB2" s="1" t="s">
        <v>34</v>
      </c>
      <c r="AC2" s="1" t="s">
        <v>35</v>
      </c>
      <c r="AD2" s="1" t="s">
        <v>36</v>
      </c>
      <c r="AE2" s="1" t="s">
        <v>38</v>
      </c>
    </row>
    <row r="3" spans="1:31" ht="14.25" customHeight="1" x14ac:dyDescent="0.25">
      <c r="A3" s="1" t="s">
        <v>43</v>
      </c>
      <c r="B3" s="1" t="s">
        <v>4</v>
      </c>
      <c r="C3" s="1" t="s">
        <v>5</v>
      </c>
      <c r="D3" s="1">
        <v>15.5</v>
      </c>
      <c r="E3" s="1">
        <v>37651300</v>
      </c>
      <c r="F3" s="5">
        <v>2259078000</v>
      </c>
      <c r="G3" s="6">
        <f>LOG10(F3)</f>
        <v>9.353931226221281</v>
      </c>
      <c r="H3" s="1"/>
      <c r="I3" s="1" t="s">
        <v>44</v>
      </c>
      <c r="J3" s="1" t="s">
        <v>4</v>
      </c>
      <c r="K3" s="1" t="s">
        <v>5</v>
      </c>
      <c r="L3" s="1">
        <v>26.4</v>
      </c>
      <c r="M3" s="1">
        <v>14984.95</v>
      </c>
      <c r="N3" s="5">
        <v>899097</v>
      </c>
      <c r="O3" s="6">
        <f>LOG10(N3)</f>
        <v>5.9538065485655194</v>
      </c>
      <c r="P3" s="1"/>
      <c r="Q3" s="1" t="s">
        <v>45</v>
      </c>
      <c r="R3" s="1" t="s">
        <v>4</v>
      </c>
      <c r="S3" s="1" t="s">
        <v>5</v>
      </c>
      <c r="T3" s="1">
        <v>24.4</v>
      </c>
      <c r="U3" s="1">
        <v>61642.116666666669</v>
      </c>
      <c r="V3" s="5">
        <v>3698527</v>
      </c>
      <c r="W3" s="6">
        <f>LOG10(V3)</f>
        <v>6.5680287934876258</v>
      </c>
      <c r="X3" s="2"/>
      <c r="Y3" s="1" t="s">
        <v>25</v>
      </c>
      <c r="Z3" s="1" t="s">
        <v>4</v>
      </c>
      <c r="AA3" s="1" t="s">
        <v>5</v>
      </c>
      <c r="AB3" s="1">
        <v>28</v>
      </c>
      <c r="AC3" s="1">
        <v>4824.05</v>
      </c>
      <c r="AD3" s="5">
        <v>289443</v>
      </c>
      <c r="AE3" s="6">
        <f>LOG10(AD3)</f>
        <v>5.4615630508862942</v>
      </c>
    </row>
    <row r="4" spans="1:31" ht="14.25" customHeight="1" x14ac:dyDescent="0.25">
      <c r="A4" s="1" t="s">
        <v>46</v>
      </c>
      <c r="B4" s="1" t="s">
        <v>4</v>
      </c>
      <c r="C4" s="1" t="s">
        <v>5</v>
      </c>
      <c r="D4" s="1">
        <v>19.3</v>
      </c>
      <c r="E4" s="1">
        <v>2500661</v>
      </c>
      <c r="F4" s="5">
        <v>150039660</v>
      </c>
      <c r="G4" s="6">
        <f t="shared" ref="G4:G11" si="0">LOG10(F4)</f>
        <v>8.1762060713391822</v>
      </c>
      <c r="H4" s="1"/>
      <c r="I4" s="1" t="s">
        <v>47</v>
      </c>
      <c r="J4" s="1" t="s">
        <v>4</v>
      </c>
      <c r="K4" s="1" t="s">
        <v>5</v>
      </c>
      <c r="L4" s="1">
        <v>22</v>
      </c>
      <c r="M4" s="1">
        <v>368287.66666666669</v>
      </c>
      <c r="N4" s="5">
        <v>22097260</v>
      </c>
      <c r="O4" s="6">
        <f t="shared" ref="O4:O11" si="1">LOG10(N4)</f>
        <v>7.3443384256917312</v>
      </c>
      <c r="P4" s="1"/>
      <c r="Q4" s="1" t="s">
        <v>48</v>
      </c>
      <c r="R4" s="1" t="s">
        <v>4</v>
      </c>
      <c r="S4" s="1" t="s">
        <v>5</v>
      </c>
      <c r="T4" s="1">
        <v>27.3</v>
      </c>
      <c r="U4" s="1">
        <v>8093.7166666666662</v>
      </c>
      <c r="V4" s="5">
        <v>485623</v>
      </c>
      <c r="W4" s="6">
        <f t="shared" ref="W4:W11" si="2">LOG10(V4)</f>
        <v>5.6862992475411236</v>
      </c>
      <c r="X4" s="2"/>
      <c r="Y4" s="1" t="s">
        <v>26</v>
      </c>
      <c r="Z4" s="1" t="s">
        <v>4</v>
      </c>
      <c r="AA4" s="1" t="s">
        <v>5</v>
      </c>
      <c r="AB4" s="1">
        <v>28.7</v>
      </c>
      <c r="AC4" s="1">
        <v>2937.1</v>
      </c>
      <c r="AD4" s="5">
        <v>176226</v>
      </c>
      <c r="AE4" s="6">
        <f t="shared" ref="AE4:AE11" si="3">LOG10(AD4)</f>
        <v>5.2460699836646514</v>
      </c>
    </row>
    <row r="5" spans="1:31" ht="14.25" customHeight="1" x14ac:dyDescent="0.25">
      <c r="A5" s="1" t="s">
        <v>49</v>
      </c>
      <c r="B5" s="1" t="s">
        <v>4</v>
      </c>
      <c r="C5" s="1" t="s">
        <v>5</v>
      </c>
      <c r="D5" s="1">
        <v>18.600000000000001</v>
      </c>
      <c r="E5" s="1">
        <v>4060682.5</v>
      </c>
      <c r="F5" s="5">
        <v>243640950</v>
      </c>
      <c r="G5" s="6">
        <f t="shared" si="0"/>
        <v>8.3867502842251866</v>
      </c>
      <c r="H5" s="1"/>
      <c r="I5" s="1" t="s">
        <v>50</v>
      </c>
      <c r="J5" s="1" t="s">
        <v>4</v>
      </c>
      <c r="K5" s="1" t="s">
        <v>5</v>
      </c>
      <c r="L5" s="1">
        <v>26.5</v>
      </c>
      <c r="M5" s="1">
        <v>14136.516666666666</v>
      </c>
      <c r="N5" s="5">
        <v>848191</v>
      </c>
      <c r="O5" s="6">
        <f t="shared" si="1"/>
        <v>5.928493659928602</v>
      </c>
      <c r="P5" s="1"/>
      <c r="Q5" s="1" t="s">
        <v>51</v>
      </c>
      <c r="R5" s="1" t="s">
        <v>4</v>
      </c>
      <c r="S5" s="1" t="s">
        <v>5</v>
      </c>
      <c r="T5" s="1">
        <v>23.9</v>
      </c>
      <c r="U5" s="1">
        <v>88920.8</v>
      </c>
      <c r="V5" s="5">
        <v>5335248</v>
      </c>
      <c r="W5" s="6">
        <f t="shared" si="2"/>
        <v>6.7271546116758083</v>
      </c>
      <c r="X5" s="2"/>
      <c r="Y5" s="1" t="s">
        <v>27</v>
      </c>
      <c r="Z5" s="1" t="s">
        <v>4</v>
      </c>
      <c r="AA5" s="1" t="s">
        <v>5</v>
      </c>
      <c r="AB5" s="1">
        <v>26.8</v>
      </c>
      <c r="AC5" s="1">
        <v>11730.716666666667</v>
      </c>
      <c r="AD5" s="5">
        <v>703843</v>
      </c>
      <c r="AE5" s="6">
        <f t="shared" si="3"/>
        <v>5.847475795736262</v>
      </c>
    </row>
    <row r="6" spans="1:31" ht="14.25" customHeight="1" x14ac:dyDescent="0.25">
      <c r="A6" s="1" t="s">
        <v>52</v>
      </c>
      <c r="B6" s="1" t="s">
        <v>4</v>
      </c>
      <c r="C6" s="1" t="s">
        <v>5</v>
      </c>
      <c r="D6" s="1">
        <v>18</v>
      </c>
      <c r="E6" s="1">
        <v>6157305.75</v>
      </c>
      <c r="F6" s="5">
        <v>369438345</v>
      </c>
      <c r="G6" s="6">
        <f t="shared" si="0"/>
        <v>8.5675419700366753</v>
      </c>
      <c r="H6" s="1"/>
      <c r="I6" s="1" t="s">
        <v>53</v>
      </c>
      <c r="J6" s="1" t="s">
        <v>4</v>
      </c>
      <c r="K6" s="1" t="s">
        <v>5</v>
      </c>
      <c r="L6" s="1">
        <v>23.7</v>
      </c>
      <c r="M6" s="1">
        <v>106198.51666666666</v>
      </c>
      <c r="N6" s="5">
        <v>6371911</v>
      </c>
      <c r="O6" s="6">
        <f t="shared" si="1"/>
        <v>6.8042697011405773</v>
      </c>
      <c r="P6" s="1"/>
      <c r="Q6" s="1" t="s">
        <v>54</v>
      </c>
      <c r="R6" s="1" t="s">
        <v>4</v>
      </c>
      <c r="S6" s="1" t="s">
        <v>5</v>
      </c>
      <c r="T6" s="1">
        <v>24.6</v>
      </c>
      <c r="U6" s="1">
        <v>55689.76666666667</v>
      </c>
      <c r="V6" s="5">
        <v>3341386</v>
      </c>
      <c r="W6" s="6">
        <f t="shared" si="2"/>
        <v>6.5239266486362792</v>
      </c>
      <c r="X6" s="2"/>
      <c r="Y6" s="1" t="s">
        <v>28</v>
      </c>
      <c r="Z6" s="1" t="s">
        <v>4</v>
      </c>
      <c r="AA6" s="1" t="s">
        <v>5</v>
      </c>
      <c r="AB6" s="1">
        <v>27</v>
      </c>
      <c r="AC6" s="1">
        <v>10060.6</v>
      </c>
      <c r="AD6" s="5">
        <v>603636</v>
      </c>
      <c r="AE6" s="6">
        <f t="shared" si="3"/>
        <v>5.7807751325865322</v>
      </c>
    </row>
    <row r="7" spans="1:31" ht="14.25" customHeight="1" x14ac:dyDescent="0.25">
      <c r="A7" s="1" t="s">
        <v>55</v>
      </c>
      <c r="B7" s="1" t="s">
        <v>4</v>
      </c>
      <c r="C7" s="1" t="s">
        <v>5</v>
      </c>
      <c r="D7" s="1">
        <v>20.8</v>
      </c>
      <c r="E7" s="1">
        <v>828675.76666666672</v>
      </c>
      <c r="F7" s="5">
        <v>49720546</v>
      </c>
      <c r="G7" s="6">
        <f t="shared" si="0"/>
        <v>7.6965358891467019</v>
      </c>
      <c r="H7" s="1"/>
      <c r="I7" s="1" t="s">
        <v>56</v>
      </c>
      <c r="J7" s="1" t="s">
        <v>4</v>
      </c>
      <c r="K7" s="1" t="s">
        <v>5</v>
      </c>
      <c r="L7" s="1">
        <v>19</v>
      </c>
      <c r="M7" s="1">
        <v>3053850.75</v>
      </c>
      <c r="N7" s="5">
        <v>183231045</v>
      </c>
      <c r="O7" s="6">
        <f t="shared" si="1"/>
        <v>8.2629990584690347</v>
      </c>
      <c r="P7" s="1"/>
      <c r="Q7" s="1" t="s">
        <v>57</v>
      </c>
      <c r="R7" s="1" t="s">
        <v>4</v>
      </c>
      <c r="S7" s="1" t="s">
        <v>5</v>
      </c>
      <c r="T7" s="1">
        <v>28.5</v>
      </c>
      <c r="U7" s="1">
        <v>3322.2666666666669</v>
      </c>
      <c r="V7" s="5">
        <v>199336</v>
      </c>
      <c r="W7" s="6">
        <f t="shared" si="2"/>
        <v>5.29958573918951</v>
      </c>
      <c r="X7" s="2"/>
      <c r="Y7" s="1" t="s">
        <v>29</v>
      </c>
      <c r="Z7" s="1" t="s">
        <v>4</v>
      </c>
      <c r="AA7" s="1" t="s">
        <v>5</v>
      </c>
      <c r="AB7" s="1">
        <v>28</v>
      </c>
      <c r="AC7" s="1">
        <v>4933.2166666666662</v>
      </c>
      <c r="AD7" s="5">
        <v>295993</v>
      </c>
      <c r="AE7" s="6">
        <f t="shared" si="3"/>
        <v>5.4712814404598831</v>
      </c>
    </row>
    <row r="8" spans="1:31" ht="14.25" customHeight="1" x14ac:dyDescent="0.25">
      <c r="A8" s="1" t="s">
        <v>58</v>
      </c>
      <c r="B8" s="1" t="s">
        <v>4</v>
      </c>
      <c r="C8" s="1" t="s">
        <v>5</v>
      </c>
      <c r="D8" s="1">
        <v>18.600000000000001</v>
      </c>
      <c r="E8" s="1">
        <v>4132328.375</v>
      </c>
      <c r="F8" s="5">
        <v>247939702.5</v>
      </c>
      <c r="G8" s="6">
        <f t="shared" si="0"/>
        <v>8.3943460757636661</v>
      </c>
      <c r="H8" s="1"/>
      <c r="I8" s="1" t="s">
        <v>59</v>
      </c>
      <c r="J8" s="1" t="s">
        <v>4</v>
      </c>
      <c r="K8" s="1" t="s">
        <v>5</v>
      </c>
      <c r="L8" s="1">
        <v>21</v>
      </c>
      <c r="M8" s="1">
        <v>724780.43333333335</v>
      </c>
      <c r="N8" s="5">
        <v>43486826</v>
      </c>
      <c r="O8" s="6">
        <f t="shared" si="1"/>
        <v>7.6383577107007632</v>
      </c>
      <c r="P8" s="1"/>
      <c r="Q8" s="1" t="s">
        <v>60</v>
      </c>
      <c r="R8" s="1" t="s">
        <v>4</v>
      </c>
      <c r="S8" s="1" t="s">
        <v>5</v>
      </c>
      <c r="T8" s="1">
        <v>24.2</v>
      </c>
      <c r="U8" s="1">
        <v>71424.95</v>
      </c>
      <c r="V8" s="5">
        <v>4285497</v>
      </c>
      <c r="W8" s="6">
        <f t="shared" si="2"/>
        <v>6.6320011954169793</v>
      </c>
      <c r="X8" s="2"/>
      <c r="Y8" s="1" t="s">
        <v>30</v>
      </c>
      <c r="Z8" s="1" t="s">
        <v>4</v>
      </c>
      <c r="AA8" s="1" t="s">
        <v>5</v>
      </c>
      <c r="AB8" s="1">
        <v>34.1</v>
      </c>
      <c r="AC8" s="1">
        <v>60</v>
      </c>
      <c r="AD8" s="5">
        <v>3600</v>
      </c>
      <c r="AE8" s="6">
        <f t="shared" si="3"/>
        <v>3.5563025007672873</v>
      </c>
    </row>
    <row r="9" spans="1:31" ht="14.25" customHeight="1" x14ac:dyDescent="0.25">
      <c r="A9" s="1" t="s">
        <v>61</v>
      </c>
      <c r="B9" s="1" t="s">
        <v>4</v>
      </c>
      <c r="C9" s="1" t="s">
        <v>5</v>
      </c>
      <c r="D9" s="1">
        <v>20.5</v>
      </c>
      <c r="E9" s="1">
        <v>1058194.0833333333</v>
      </c>
      <c r="F9" s="5">
        <v>63491645</v>
      </c>
      <c r="G9" s="6">
        <f t="shared" si="0"/>
        <v>7.8027165793214426</v>
      </c>
      <c r="H9" s="1"/>
      <c r="I9" s="1" t="s">
        <v>62</v>
      </c>
      <c r="J9" s="1" t="s">
        <v>4</v>
      </c>
      <c r="K9" s="1" t="s">
        <v>5</v>
      </c>
      <c r="L9" s="1">
        <v>22.9</v>
      </c>
      <c r="M9" s="1">
        <v>181030.83333333334</v>
      </c>
      <c r="N9" s="5">
        <v>10861850</v>
      </c>
      <c r="O9" s="6">
        <f t="shared" si="1"/>
        <v>7.0359038009771302</v>
      </c>
      <c r="P9" s="1"/>
      <c r="Q9" s="1" t="s">
        <v>63</v>
      </c>
      <c r="R9" s="1" t="s">
        <v>4</v>
      </c>
      <c r="S9" s="1" t="s">
        <v>5</v>
      </c>
      <c r="T9" s="1">
        <v>22.4</v>
      </c>
      <c r="U9" s="1">
        <v>263587.76666666666</v>
      </c>
      <c r="V9" s="5">
        <v>15815266</v>
      </c>
      <c r="W9" s="6">
        <f t="shared" si="2"/>
        <v>7.1990765007955728</v>
      </c>
      <c r="X9" s="2"/>
      <c r="Y9" s="1" t="s">
        <v>31</v>
      </c>
      <c r="Z9" s="1" t="s">
        <v>4</v>
      </c>
      <c r="AA9" s="1" t="s">
        <v>5</v>
      </c>
      <c r="AB9" s="1">
        <v>30.1</v>
      </c>
      <c r="AC9" s="1">
        <v>1044.2666666666667</v>
      </c>
      <c r="AD9" s="5">
        <v>62656</v>
      </c>
      <c r="AE9" s="6">
        <f t="shared" si="3"/>
        <v>4.7969626657870252</v>
      </c>
    </row>
    <row r="10" spans="1:31" ht="14.25" customHeight="1" x14ac:dyDescent="0.25">
      <c r="A10" s="1" t="s">
        <v>64</v>
      </c>
      <c r="B10" s="1" t="s">
        <v>4</v>
      </c>
      <c r="C10" s="1" t="s">
        <v>5</v>
      </c>
      <c r="D10" s="1">
        <v>20.399999999999999</v>
      </c>
      <c r="E10" s="1">
        <v>1116526.25</v>
      </c>
      <c r="F10" s="5">
        <v>66991575</v>
      </c>
      <c r="G10" s="6">
        <f t="shared" si="0"/>
        <v>7.8260201883563818</v>
      </c>
      <c r="H10" s="1"/>
      <c r="I10" s="1" t="s">
        <v>65</v>
      </c>
      <c r="J10" s="1" t="s">
        <v>4</v>
      </c>
      <c r="K10" s="1" t="s">
        <v>5</v>
      </c>
      <c r="L10" s="1">
        <v>23.6</v>
      </c>
      <c r="M10" s="1">
        <v>111727.76666666666</v>
      </c>
      <c r="N10" s="5">
        <v>6703666</v>
      </c>
      <c r="O10" s="6">
        <f t="shared" si="1"/>
        <v>6.8263123680967945</v>
      </c>
      <c r="P10" s="1"/>
      <c r="Q10" s="1" t="s">
        <v>66</v>
      </c>
      <c r="R10" s="1" t="s">
        <v>4</v>
      </c>
      <c r="S10" s="1" t="s">
        <v>5</v>
      </c>
      <c r="T10" s="1">
        <v>25.5</v>
      </c>
      <c r="U10" s="1">
        <v>28227.783333333333</v>
      </c>
      <c r="V10" s="5">
        <v>1693667</v>
      </c>
      <c r="W10" s="6">
        <f t="shared" si="2"/>
        <v>6.2288280256648392</v>
      </c>
      <c r="X10" s="2"/>
      <c r="Y10" s="1" t="s">
        <v>32</v>
      </c>
      <c r="Z10" s="1" t="s">
        <v>4</v>
      </c>
      <c r="AA10" s="1" t="s">
        <v>5</v>
      </c>
      <c r="AB10" s="1">
        <v>30</v>
      </c>
      <c r="AC10" s="1">
        <v>1179.1166666666666</v>
      </c>
      <c r="AD10" s="5">
        <v>70747</v>
      </c>
      <c r="AE10" s="6">
        <f t="shared" si="3"/>
        <v>4.8497080284921656</v>
      </c>
    </row>
    <row r="11" spans="1:31" ht="14.25" customHeight="1" x14ac:dyDescent="0.25">
      <c r="A11" s="1" t="s">
        <v>67</v>
      </c>
      <c r="B11" s="1" t="s">
        <v>4</v>
      </c>
      <c r="C11" s="1" t="s">
        <v>5</v>
      </c>
      <c r="D11" s="1">
        <v>20.2</v>
      </c>
      <c r="E11" s="1">
        <v>1273310.9333333333</v>
      </c>
      <c r="F11" s="5">
        <v>76398656</v>
      </c>
      <c r="G11" s="6">
        <f t="shared" si="0"/>
        <v>7.8830857185636773</v>
      </c>
      <c r="H11" s="1"/>
      <c r="I11" s="1" t="s">
        <v>68</v>
      </c>
      <c r="J11" s="1" t="s">
        <v>4</v>
      </c>
      <c r="K11" s="1" t="s">
        <v>5</v>
      </c>
      <c r="L11" s="1">
        <v>22.7</v>
      </c>
      <c r="M11" s="1">
        <v>211250.53333333333</v>
      </c>
      <c r="N11" s="5">
        <v>12675032</v>
      </c>
      <c r="O11" s="6">
        <f t="shared" si="1"/>
        <v>7.1029490644476523</v>
      </c>
      <c r="P11" s="1"/>
      <c r="Q11" s="1" t="s">
        <v>69</v>
      </c>
      <c r="R11" s="1" t="s">
        <v>4</v>
      </c>
      <c r="S11" s="1" t="s">
        <v>5</v>
      </c>
      <c r="T11" s="1">
        <v>20.5</v>
      </c>
      <c r="U11" s="1">
        <v>1019968.6833333333</v>
      </c>
      <c r="V11" s="5">
        <v>61198121</v>
      </c>
      <c r="W11" s="6">
        <f t="shared" si="2"/>
        <v>7.7867380879648582</v>
      </c>
      <c r="X11" s="2"/>
      <c r="Y11" s="1" t="s">
        <v>33</v>
      </c>
      <c r="Z11" s="1" t="s">
        <v>4</v>
      </c>
      <c r="AA11" s="1" t="s">
        <v>5</v>
      </c>
      <c r="AB11" s="1">
        <v>33</v>
      </c>
      <c r="AC11" s="1">
        <v>135.56666666666666</v>
      </c>
      <c r="AD11" s="5">
        <v>8134</v>
      </c>
      <c r="AE11" s="6">
        <f t="shared" si="3"/>
        <v>3.9103041680685688</v>
      </c>
    </row>
    <row r="12" spans="1:31" x14ac:dyDescent="0.25">
      <c r="A12" s="7" t="s">
        <v>6</v>
      </c>
      <c r="B12" s="8"/>
      <c r="C12" s="8"/>
      <c r="D12" s="8"/>
      <c r="E12" s="8"/>
      <c r="F12" s="8"/>
      <c r="G12" s="9"/>
      <c r="H12" s="1"/>
      <c r="I12" s="7" t="s">
        <v>20</v>
      </c>
      <c r="J12" s="8"/>
      <c r="K12" s="8"/>
      <c r="L12" s="8"/>
      <c r="M12" s="8"/>
      <c r="N12" s="8"/>
      <c r="O12" s="9"/>
      <c r="P12" s="1"/>
      <c r="Q12" s="7" t="s">
        <v>22</v>
      </c>
      <c r="R12" s="8"/>
      <c r="S12" s="8"/>
      <c r="T12" s="8"/>
      <c r="U12" s="8"/>
      <c r="V12" s="8"/>
      <c r="W12" s="9"/>
      <c r="X12" s="2"/>
      <c r="Y12" s="10" t="s">
        <v>24</v>
      </c>
      <c r="Z12" s="10"/>
      <c r="AA12" s="10"/>
      <c r="AB12" s="10"/>
      <c r="AC12" s="10"/>
      <c r="AD12" s="10"/>
      <c r="AE12" s="10"/>
    </row>
    <row r="13" spans="1:31" ht="16.5" x14ac:dyDescent="0.3">
      <c r="A13" s="1" t="s">
        <v>7</v>
      </c>
      <c r="B13" s="1" t="s">
        <v>2</v>
      </c>
      <c r="C13" s="1" t="s">
        <v>3</v>
      </c>
      <c r="D13" s="1" t="s">
        <v>34</v>
      </c>
      <c r="E13" s="1" t="s">
        <v>35</v>
      </c>
      <c r="F13" s="1" t="s">
        <v>36</v>
      </c>
      <c r="G13" s="1" t="s">
        <v>38</v>
      </c>
      <c r="H13" s="1"/>
      <c r="I13" s="1" t="s">
        <v>7</v>
      </c>
      <c r="J13" s="1" t="s">
        <v>2</v>
      </c>
      <c r="K13" s="1" t="s">
        <v>3</v>
      </c>
      <c r="L13" s="1" t="s">
        <v>34</v>
      </c>
      <c r="M13" s="1" t="s">
        <v>35</v>
      </c>
      <c r="N13" s="1" t="s">
        <v>36</v>
      </c>
      <c r="O13" s="1" t="s">
        <v>38</v>
      </c>
      <c r="P13" s="1"/>
      <c r="Q13" s="1" t="s">
        <v>7</v>
      </c>
      <c r="R13" s="1" t="s">
        <v>2</v>
      </c>
      <c r="S13" s="1" t="s">
        <v>3</v>
      </c>
      <c r="T13" s="1" t="s">
        <v>34</v>
      </c>
      <c r="U13" s="1" t="s">
        <v>35</v>
      </c>
      <c r="V13" s="1" t="s">
        <v>36</v>
      </c>
      <c r="W13" s="1" t="s">
        <v>38</v>
      </c>
      <c r="X13" s="2"/>
      <c r="Y13" s="1" t="s">
        <v>7</v>
      </c>
      <c r="Z13" s="1" t="s">
        <v>2</v>
      </c>
      <c r="AA13" s="1" t="s">
        <v>3</v>
      </c>
      <c r="AB13" s="1" t="s">
        <v>34</v>
      </c>
      <c r="AC13" s="1" t="s">
        <v>35</v>
      </c>
      <c r="AD13" s="1" t="s">
        <v>36</v>
      </c>
      <c r="AE13" s="1" t="s">
        <v>38</v>
      </c>
    </row>
    <row r="14" spans="1:31" x14ac:dyDescent="0.25">
      <c r="A14" s="1" t="s">
        <v>70</v>
      </c>
      <c r="B14" s="1" t="s">
        <v>4</v>
      </c>
      <c r="C14" s="1" t="s">
        <v>5</v>
      </c>
      <c r="D14" s="1">
        <v>25.8</v>
      </c>
      <c r="E14" s="1">
        <v>23519</v>
      </c>
      <c r="F14" s="5">
        <v>1411147</v>
      </c>
      <c r="G14" s="6">
        <f>LOG10(F14)</f>
        <v>6.1495722568185096</v>
      </c>
      <c r="H14" s="1"/>
      <c r="I14" s="1" t="s">
        <v>71</v>
      </c>
      <c r="J14" s="1" t="s">
        <v>4</v>
      </c>
      <c r="K14" s="1" t="s">
        <v>5</v>
      </c>
      <c r="L14" s="1">
        <v>30</v>
      </c>
      <c r="M14" s="1">
        <v>1170.95</v>
      </c>
      <c r="N14" s="5">
        <v>70257</v>
      </c>
      <c r="O14" s="6">
        <f>LOG10(N14)</f>
        <v>4.8466896013162097</v>
      </c>
      <c r="P14" s="1"/>
      <c r="Q14" s="1" t="s">
        <v>72</v>
      </c>
      <c r="R14" s="1" t="s">
        <v>4</v>
      </c>
      <c r="S14" s="1" t="s">
        <v>5</v>
      </c>
      <c r="T14" s="1" t="s">
        <v>39</v>
      </c>
      <c r="U14" s="1">
        <v>1</v>
      </c>
      <c r="V14" s="5">
        <v>60</v>
      </c>
      <c r="W14" s="6">
        <f>LOG10(V14)</f>
        <v>1.7781512503836436</v>
      </c>
      <c r="X14" s="2"/>
      <c r="Y14" s="1" t="s">
        <v>73</v>
      </c>
      <c r="Z14" s="1" t="s">
        <v>4</v>
      </c>
      <c r="AA14" s="1" t="s">
        <v>5</v>
      </c>
      <c r="AB14" s="1" t="s">
        <v>39</v>
      </c>
      <c r="AC14" s="1">
        <v>1</v>
      </c>
      <c r="AD14" s="4">
        <v>60</v>
      </c>
      <c r="AE14" s="6">
        <f>LOG10(AD14)</f>
        <v>1.7781512503836436</v>
      </c>
    </row>
    <row r="15" spans="1:31" x14ac:dyDescent="0.25">
      <c r="A15" s="1" t="s">
        <v>74</v>
      </c>
      <c r="B15" s="1" t="s">
        <v>4</v>
      </c>
      <c r="C15" s="1" t="s">
        <v>5</v>
      </c>
      <c r="D15" s="1">
        <v>23.5</v>
      </c>
      <c r="E15" s="1">
        <v>118966</v>
      </c>
      <c r="F15" s="5">
        <v>7137973</v>
      </c>
      <c r="G15" s="6">
        <f t="shared" ref="G15:G37" si="4">LOG10(F15)</f>
        <v>6.8535749008663229</v>
      </c>
      <c r="H15" s="1"/>
      <c r="I15" s="1" t="s">
        <v>75</v>
      </c>
      <c r="J15" s="1" t="s">
        <v>4</v>
      </c>
      <c r="K15" s="1" t="s">
        <v>5</v>
      </c>
      <c r="L15" s="1">
        <v>29.7</v>
      </c>
      <c r="M15" s="1">
        <v>1410.75</v>
      </c>
      <c r="N15" s="5">
        <v>84645</v>
      </c>
      <c r="O15" s="6">
        <f t="shared" ref="O15:O37" si="5">LOG10(N15)</f>
        <v>4.9276013093257225</v>
      </c>
      <c r="P15" s="1"/>
      <c r="Q15" s="1" t="s">
        <v>76</v>
      </c>
      <c r="R15" s="1" t="s">
        <v>4</v>
      </c>
      <c r="S15" s="1" t="s">
        <v>5</v>
      </c>
      <c r="T15" s="1">
        <v>36.9</v>
      </c>
      <c r="U15" s="1">
        <v>8.0333333333333332</v>
      </c>
      <c r="V15" s="5">
        <v>482</v>
      </c>
      <c r="W15" s="6">
        <f t="shared" ref="W15:W37" si="6">LOG10(V15)</f>
        <v>2.6830470382388496</v>
      </c>
      <c r="X15" s="2"/>
      <c r="Y15" s="1" t="s">
        <v>77</v>
      </c>
      <c r="Z15" s="1" t="s">
        <v>4</v>
      </c>
      <c r="AA15" s="1" t="s">
        <v>5</v>
      </c>
      <c r="AB15" s="1" t="s">
        <v>39</v>
      </c>
      <c r="AC15" s="1">
        <v>1</v>
      </c>
      <c r="AD15" s="4">
        <v>60</v>
      </c>
      <c r="AE15" s="6">
        <f t="shared" ref="AE15:AE37" si="7">LOG10(AD15)</f>
        <v>1.7781512503836436</v>
      </c>
    </row>
    <row r="16" spans="1:31" x14ac:dyDescent="0.25">
      <c r="A16" s="1" t="s">
        <v>78</v>
      </c>
      <c r="B16" s="1" t="s">
        <v>4</v>
      </c>
      <c r="C16" s="1" t="s">
        <v>5</v>
      </c>
      <c r="D16" s="1">
        <v>34.299999999999997</v>
      </c>
      <c r="E16" s="1">
        <v>52.15</v>
      </c>
      <c r="F16" s="5">
        <v>3129</v>
      </c>
      <c r="G16" s="6">
        <f t="shared" si="4"/>
        <v>3.4954055631461931</v>
      </c>
      <c r="H16" s="1"/>
      <c r="I16" s="1" t="s">
        <v>79</v>
      </c>
      <c r="J16" s="1" t="s">
        <v>4</v>
      </c>
      <c r="K16" s="1" t="s">
        <v>5</v>
      </c>
      <c r="L16" s="1">
        <v>28.9</v>
      </c>
      <c r="M16" s="1">
        <v>2470.7333333333331</v>
      </c>
      <c r="N16" s="5">
        <v>148244</v>
      </c>
      <c r="O16" s="6">
        <f t="shared" si="5"/>
        <v>5.1709771248381662</v>
      </c>
      <c r="P16" s="1"/>
      <c r="Q16" s="1" t="s">
        <v>80</v>
      </c>
      <c r="R16" s="1" t="s">
        <v>4</v>
      </c>
      <c r="S16" s="1" t="s">
        <v>5</v>
      </c>
      <c r="T16" s="1" t="s">
        <v>39</v>
      </c>
      <c r="U16" s="1">
        <v>1</v>
      </c>
      <c r="V16" s="5">
        <v>60</v>
      </c>
      <c r="W16" s="6">
        <f t="shared" si="6"/>
        <v>1.7781512503836436</v>
      </c>
      <c r="X16" s="2"/>
      <c r="Y16" s="1" t="s">
        <v>81</v>
      </c>
      <c r="Z16" s="1" t="s">
        <v>4</v>
      </c>
      <c r="AA16" s="1" t="s">
        <v>5</v>
      </c>
      <c r="AB16" s="1" t="s">
        <v>39</v>
      </c>
      <c r="AC16" s="1">
        <v>1</v>
      </c>
      <c r="AD16" s="4">
        <v>60</v>
      </c>
      <c r="AE16" s="6">
        <f t="shared" si="7"/>
        <v>1.7781512503836436</v>
      </c>
    </row>
    <row r="17" spans="1:31" x14ac:dyDescent="0.25">
      <c r="A17" s="1" t="s">
        <v>82</v>
      </c>
      <c r="B17" s="1" t="s">
        <v>4</v>
      </c>
      <c r="C17" s="1" t="s">
        <v>5</v>
      </c>
      <c r="D17" s="1">
        <v>21.7</v>
      </c>
      <c r="E17" s="1">
        <v>434426</v>
      </c>
      <c r="F17" s="5">
        <v>26065561</v>
      </c>
      <c r="G17" s="6">
        <f t="shared" si="4"/>
        <v>7.4160670765326504</v>
      </c>
      <c r="H17" s="1"/>
      <c r="I17" s="1" t="s">
        <v>83</v>
      </c>
      <c r="J17" s="1" t="s">
        <v>4</v>
      </c>
      <c r="K17" s="1" t="s">
        <v>5</v>
      </c>
      <c r="L17" s="1">
        <v>24.5</v>
      </c>
      <c r="M17" s="1">
        <v>58237.816666666666</v>
      </c>
      <c r="N17" s="5">
        <v>3494269</v>
      </c>
      <c r="O17" s="6">
        <f t="shared" si="5"/>
        <v>6.5433563353116879</v>
      </c>
      <c r="P17" s="1"/>
      <c r="Q17" s="1" t="s">
        <v>84</v>
      </c>
      <c r="R17" s="1" t="s">
        <v>4</v>
      </c>
      <c r="S17" s="1" t="s">
        <v>5</v>
      </c>
      <c r="T17" s="1">
        <v>35.9</v>
      </c>
      <c r="U17" s="1">
        <v>16.166666666666668</v>
      </c>
      <c r="V17" s="5">
        <v>970</v>
      </c>
      <c r="W17" s="6">
        <f t="shared" si="6"/>
        <v>2.9867717342662448</v>
      </c>
      <c r="X17" s="2"/>
      <c r="Y17" s="1" t="s">
        <v>85</v>
      </c>
      <c r="Z17" s="1" t="s">
        <v>4</v>
      </c>
      <c r="AA17" s="1" t="s">
        <v>5</v>
      </c>
      <c r="AB17" s="1" t="s">
        <v>39</v>
      </c>
      <c r="AC17" s="1">
        <v>1</v>
      </c>
      <c r="AD17" s="4">
        <v>60</v>
      </c>
      <c r="AE17" s="6">
        <f t="shared" si="7"/>
        <v>1.7781512503836436</v>
      </c>
    </row>
    <row r="18" spans="1:31" x14ac:dyDescent="0.25">
      <c r="A18" s="1" t="s">
        <v>86</v>
      </c>
      <c r="B18" s="1" t="s">
        <v>4</v>
      </c>
      <c r="C18" s="1" t="s">
        <v>5</v>
      </c>
      <c r="D18" s="1">
        <v>19.5</v>
      </c>
      <c r="E18" s="1">
        <v>2174520</v>
      </c>
      <c r="F18" s="5">
        <v>130471222</v>
      </c>
      <c r="G18" s="6">
        <f t="shared" si="4"/>
        <v>8.1155147300279165</v>
      </c>
      <c r="H18" s="1"/>
      <c r="I18" s="1" t="s">
        <v>87</v>
      </c>
      <c r="J18" s="1" t="s">
        <v>4</v>
      </c>
      <c r="K18" s="1" t="s">
        <v>5</v>
      </c>
      <c r="L18" s="1">
        <v>27.1</v>
      </c>
      <c r="M18" s="1">
        <v>9049.0666666666675</v>
      </c>
      <c r="N18" s="5">
        <v>542944</v>
      </c>
      <c r="O18" s="6">
        <f t="shared" si="5"/>
        <v>5.7347550381612811</v>
      </c>
      <c r="P18" s="1"/>
      <c r="Q18" s="1" t="s">
        <v>88</v>
      </c>
      <c r="R18" s="1" t="s">
        <v>4</v>
      </c>
      <c r="S18" s="1" t="s">
        <v>5</v>
      </c>
      <c r="T18" s="1">
        <v>35.9</v>
      </c>
      <c r="U18" s="1">
        <v>16.366666666666667</v>
      </c>
      <c r="V18" s="5">
        <v>982</v>
      </c>
      <c r="W18" s="6">
        <f t="shared" si="6"/>
        <v>2.9921114877869495</v>
      </c>
      <c r="X18" s="2"/>
      <c r="Y18" s="1" t="s">
        <v>89</v>
      </c>
      <c r="Z18" s="1" t="s">
        <v>4</v>
      </c>
      <c r="AA18" s="1" t="s">
        <v>5</v>
      </c>
      <c r="AB18" s="1" t="s">
        <v>39</v>
      </c>
      <c r="AC18" s="1">
        <v>1</v>
      </c>
      <c r="AD18" s="4">
        <v>60</v>
      </c>
      <c r="AE18" s="6">
        <f t="shared" si="7"/>
        <v>1.7781512503836436</v>
      </c>
    </row>
    <row r="19" spans="1:31" x14ac:dyDescent="0.25">
      <c r="A19" s="1" t="s">
        <v>90</v>
      </c>
      <c r="B19" s="1" t="s">
        <v>4</v>
      </c>
      <c r="C19" s="1" t="s">
        <v>5</v>
      </c>
      <c r="D19" s="1">
        <v>22.4</v>
      </c>
      <c r="E19" s="1">
        <v>261790</v>
      </c>
      <c r="F19" s="5">
        <v>15707429</v>
      </c>
      <c r="G19" s="6">
        <f t="shared" si="4"/>
        <v>7.1961051053144196</v>
      </c>
      <c r="H19" s="1"/>
      <c r="I19" s="1" t="s">
        <v>91</v>
      </c>
      <c r="J19" s="1" t="s">
        <v>4</v>
      </c>
      <c r="K19" s="1" t="s">
        <v>5</v>
      </c>
      <c r="L19" s="1">
        <v>27.9</v>
      </c>
      <c r="M19" s="1">
        <v>5200.8166666666666</v>
      </c>
      <c r="N19" s="5">
        <v>312049</v>
      </c>
      <c r="O19" s="6">
        <f t="shared" si="5"/>
        <v>5.4942227951682145</v>
      </c>
      <c r="P19" s="1"/>
      <c r="Q19" s="1" t="s">
        <v>92</v>
      </c>
      <c r="R19" s="1" t="s">
        <v>4</v>
      </c>
      <c r="S19" s="1" t="s">
        <v>5</v>
      </c>
      <c r="T19" s="1">
        <v>36.4</v>
      </c>
      <c r="U19" s="1">
        <v>11.483333333333333</v>
      </c>
      <c r="V19" s="5">
        <v>689</v>
      </c>
      <c r="W19" s="6">
        <f t="shared" si="6"/>
        <v>2.8382192219076257</v>
      </c>
      <c r="X19" s="2"/>
      <c r="Y19" s="1" t="s">
        <v>93</v>
      </c>
      <c r="Z19" s="1" t="s">
        <v>4</v>
      </c>
      <c r="AA19" s="1" t="s">
        <v>5</v>
      </c>
      <c r="AB19" s="1">
        <v>35.9</v>
      </c>
      <c r="AC19" s="1">
        <v>16.470000000000002</v>
      </c>
      <c r="AD19" s="5">
        <v>988.2</v>
      </c>
      <c r="AE19" s="6">
        <f t="shared" si="7"/>
        <v>2.9948448495533979</v>
      </c>
    </row>
    <row r="20" spans="1:31" x14ac:dyDescent="0.25">
      <c r="A20" s="1" t="s">
        <v>94</v>
      </c>
      <c r="B20" s="1" t="s">
        <v>4</v>
      </c>
      <c r="C20" s="1" t="s">
        <v>5</v>
      </c>
      <c r="D20" s="1">
        <v>21.7</v>
      </c>
      <c r="E20" s="1">
        <v>455983</v>
      </c>
      <c r="F20" s="5">
        <v>27359005</v>
      </c>
      <c r="G20" s="6">
        <f t="shared" si="4"/>
        <v>7.4371002987912371</v>
      </c>
      <c r="H20" s="1"/>
      <c r="I20" s="1" t="s">
        <v>95</v>
      </c>
      <c r="J20" s="1" t="s">
        <v>4</v>
      </c>
      <c r="K20" s="1" t="s">
        <v>5</v>
      </c>
      <c r="L20" s="1">
        <v>17.100000000000001</v>
      </c>
      <c r="M20" s="1">
        <v>12008239</v>
      </c>
      <c r="N20" s="5">
        <v>720494340</v>
      </c>
      <c r="O20" s="6">
        <f t="shared" si="5"/>
        <v>8.8576305734686436</v>
      </c>
      <c r="P20" s="1"/>
      <c r="Q20" s="1" t="s">
        <v>96</v>
      </c>
      <c r="R20" s="1" t="s">
        <v>4</v>
      </c>
      <c r="S20" s="1" t="s">
        <v>5</v>
      </c>
      <c r="T20" s="1" t="s">
        <v>39</v>
      </c>
      <c r="U20" s="1">
        <v>1</v>
      </c>
      <c r="V20" s="5">
        <v>60</v>
      </c>
      <c r="W20" s="6">
        <f t="shared" si="6"/>
        <v>1.7781512503836436</v>
      </c>
      <c r="X20" s="2"/>
      <c r="Y20" s="1" t="s">
        <v>97</v>
      </c>
      <c r="Z20" s="1" t="s">
        <v>4</v>
      </c>
      <c r="AA20" s="1" t="s">
        <v>5</v>
      </c>
      <c r="AB20" s="1" t="s">
        <v>39</v>
      </c>
      <c r="AC20" s="1">
        <v>1</v>
      </c>
      <c r="AD20" s="4">
        <v>60</v>
      </c>
      <c r="AE20" s="6">
        <f t="shared" si="7"/>
        <v>1.7781512503836436</v>
      </c>
    </row>
    <row r="21" spans="1:31" x14ac:dyDescent="0.25">
      <c r="A21" s="1" t="s">
        <v>98</v>
      </c>
      <c r="B21" s="1" t="s">
        <v>4</v>
      </c>
      <c r="C21" s="1" t="s">
        <v>5</v>
      </c>
      <c r="D21" s="1">
        <v>20.100000000000001</v>
      </c>
      <c r="E21" s="1">
        <v>1354085</v>
      </c>
      <c r="F21" s="5">
        <v>81245104</v>
      </c>
      <c r="G21" s="6">
        <f t="shared" si="4"/>
        <v>7.9097971989450668</v>
      </c>
      <c r="H21" s="1"/>
      <c r="I21" s="1" t="s">
        <v>99</v>
      </c>
      <c r="J21" s="1" t="s">
        <v>4</v>
      </c>
      <c r="K21" s="1" t="s">
        <v>5</v>
      </c>
      <c r="L21" s="1">
        <v>17</v>
      </c>
      <c r="M21" s="1">
        <v>12814289</v>
      </c>
      <c r="N21" s="5">
        <v>768857340</v>
      </c>
      <c r="O21" s="6">
        <f t="shared" si="5"/>
        <v>8.8858457647710249</v>
      </c>
      <c r="P21" s="1"/>
      <c r="Q21" s="1" t="s">
        <v>100</v>
      </c>
      <c r="R21" s="1" t="s">
        <v>4</v>
      </c>
      <c r="S21" s="1" t="s">
        <v>5</v>
      </c>
      <c r="T21" s="1">
        <v>37.799999999999997</v>
      </c>
      <c r="U21" s="1">
        <v>4.25</v>
      </c>
      <c r="V21" s="5">
        <v>255</v>
      </c>
      <c r="W21" s="6">
        <f t="shared" si="6"/>
        <v>2.406540180433955</v>
      </c>
      <c r="X21" s="2"/>
      <c r="Y21" s="1" t="s">
        <v>101</v>
      </c>
      <c r="Z21" s="1" t="s">
        <v>4</v>
      </c>
      <c r="AA21" s="1" t="s">
        <v>5</v>
      </c>
      <c r="AB21" s="1" t="s">
        <v>39</v>
      </c>
      <c r="AC21" s="1">
        <v>1</v>
      </c>
      <c r="AD21" s="4">
        <v>60</v>
      </c>
      <c r="AE21" s="6">
        <f t="shared" si="7"/>
        <v>1.7781512503836436</v>
      </c>
    </row>
    <row r="22" spans="1:31" x14ac:dyDescent="0.25">
      <c r="A22" s="1" t="s">
        <v>102</v>
      </c>
      <c r="B22" s="1" t="s">
        <v>4</v>
      </c>
      <c r="C22" s="1" t="s">
        <v>5</v>
      </c>
      <c r="D22" s="1">
        <v>17.7</v>
      </c>
      <c r="E22" s="1">
        <v>7625416.75</v>
      </c>
      <c r="F22" s="5">
        <v>457525005</v>
      </c>
      <c r="G22" s="6">
        <f t="shared" si="4"/>
        <v>8.6604148344391074</v>
      </c>
      <c r="H22" s="1"/>
      <c r="I22" s="1" t="s">
        <v>103</v>
      </c>
      <c r="J22" s="1" t="s">
        <v>4</v>
      </c>
      <c r="K22" s="1" t="s">
        <v>5</v>
      </c>
      <c r="L22" s="1">
        <v>20</v>
      </c>
      <c r="M22" s="1">
        <v>1500000.5</v>
      </c>
      <c r="N22" s="5">
        <v>90000030</v>
      </c>
      <c r="O22" s="6">
        <f t="shared" si="5"/>
        <v>7.954242654204128</v>
      </c>
      <c r="P22" s="1"/>
      <c r="Q22" s="1" t="s">
        <v>104</v>
      </c>
      <c r="R22" s="1" t="s">
        <v>4</v>
      </c>
      <c r="S22" s="1" t="s">
        <v>5</v>
      </c>
      <c r="T22" s="1">
        <v>36.6</v>
      </c>
      <c r="U22" s="1">
        <v>9.9</v>
      </c>
      <c r="V22" s="5">
        <v>594</v>
      </c>
      <c r="W22" s="6">
        <f t="shared" si="6"/>
        <v>2.7737864449811935</v>
      </c>
      <c r="X22" s="2"/>
      <c r="Y22" s="1" t="s">
        <v>105</v>
      </c>
      <c r="Z22" s="1" t="s">
        <v>4</v>
      </c>
      <c r="AA22" s="1" t="s">
        <v>5</v>
      </c>
      <c r="AB22" s="1" t="s">
        <v>39</v>
      </c>
      <c r="AC22" s="1">
        <v>1</v>
      </c>
      <c r="AD22" s="4">
        <v>60</v>
      </c>
      <c r="AE22" s="6">
        <f t="shared" si="7"/>
        <v>1.7781512503836436</v>
      </c>
    </row>
    <row r="23" spans="1:31" x14ac:dyDescent="0.25">
      <c r="A23" s="1" t="s">
        <v>106</v>
      </c>
      <c r="B23" s="1" t="s">
        <v>4</v>
      </c>
      <c r="C23" s="1" t="s">
        <v>5</v>
      </c>
      <c r="D23" s="1">
        <v>21.3</v>
      </c>
      <c r="E23" s="1">
        <v>571905</v>
      </c>
      <c r="F23" s="5">
        <v>34314307</v>
      </c>
      <c r="G23" s="6">
        <f t="shared" si="4"/>
        <v>7.535475232452538</v>
      </c>
      <c r="H23" s="1"/>
      <c r="I23" s="1" t="s">
        <v>107</v>
      </c>
      <c r="J23" s="1" t="s">
        <v>4</v>
      </c>
      <c r="K23" s="1" t="s">
        <v>5</v>
      </c>
      <c r="L23" s="1">
        <v>20.2</v>
      </c>
      <c r="M23" s="1">
        <v>1286863.4333333333</v>
      </c>
      <c r="N23" s="5">
        <v>77211806</v>
      </c>
      <c r="O23" s="6">
        <f t="shared" si="5"/>
        <v>7.8876837108103777</v>
      </c>
      <c r="P23" s="1"/>
      <c r="Q23" s="1" t="s">
        <v>108</v>
      </c>
      <c r="R23" s="1" t="s">
        <v>4</v>
      </c>
      <c r="S23" s="1" t="s">
        <v>5</v>
      </c>
      <c r="T23" s="1">
        <v>34.200000000000003</v>
      </c>
      <c r="U23" s="1">
        <v>54.45</v>
      </c>
      <c r="V23" s="5">
        <v>3267</v>
      </c>
      <c r="W23" s="6">
        <f t="shared" si="6"/>
        <v>3.5141491344754372</v>
      </c>
      <c r="X23" s="2"/>
      <c r="Y23" s="1" t="s">
        <v>109</v>
      </c>
      <c r="Z23" s="1" t="s">
        <v>4</v>
      </c>
      <c r="AA23" s="1" t="s">
        <v>5</v>
      </c>
      <c r="AB23" s="1" t="s">
        <v>39</v>
      </c>
      <c r="AC23" s="1">
        <v>1</v>
      </c>
      <c r="AD23" s="4">
        <v>60</v>
      </c>
      <c r="AE23" s="6">
        <f t="shared" si="7"/>
        <v>1.7781512503836436</v>
      </c>
    </row>
    <row r="24" spans="1:31" x14ac:dyDescent="0.25">
      <c r="A24" s="1" t="s">
        <v>110</v>
      </c>
      <c r="B24" s="1" t="s">
        <v>4</v>
      </c>
      <c r="C24" s="1" t="s">
        <v>5</v>
      </c>
      <c r="D24" s="1">
        <v>20.399999999999999</v>
      </c>
      <c r="E24" s="1">
        <v>1117143.2</v>
      </c>
      <c r="F24" s="5">
        <v>67028592</v>
      </c>
      <c r="G24" s="6">
        <f t="shared" si="4"/>
        <v>7.8262600967165232</v>
      </c>
      <c r="H24" s="1"/>
      <c r="I24" s="1" t="s">
        <v>111</v>
      </c>
      <c r="J24" s="1" t="s">
        <v>4</v>
      </c>
      <c r="K24" s="1" t="s">
        <v>5</v>
      </c>
      <c r="L24" s="1">
        <v>18.3</v>
      </c>
      <c r="M24" s="1">
        <v>5227292.75</v>
      </c>
      <c r="N24" s="5">
        <v>313637565</v>
      </c>
      <c r="O24" s="6">
        <f t="shared" si="5"/>
        <v>8.496428073448552</v>
      </c>
      <c r="P24" s="1"/>
      <c r="Q24" s="1" t="s">
        <v>112</v>
      </c>
      <c r="R24" s="1" t="s">
        <v>4</v>
      </c>
      <c r="S24" s="1" t="s">
        <v>5</v>
      </c>
      <c r="T24" s="1" t="s">
        <v>39</v>
      </c>
      <c r="U24" s="1">
        <v>1</v>
      </c>
      <c r="V24" s="5">
        <v>60</v>
      </c>
      <c r="W24" s="6">
        <f t="shared" si="6"/>
        <v>1.7781512503836436</v>
      </c>
      <c r="X24" s="2"/>
      <c r="Y24" s="1" t="s">
        <v>113</v>
      </c>
      <c r="Z24" s="1" t="s">
        <v>4</v>
      </c>
      <c r="AA24" s="1" t="s">
        <v>5</v>
      </c>
      <c r="AB24" s="1" t="s">
        <v>39</v>
      </c>
      <c r="AC24" s="1">
        <v>1</v>
      </c>
      <c r="AD24" s="4">
        <v>60</v>
      </c>
      <c r="AE24" s="6">
        <f t="shared" si="7"/>
        <v>1.7781512503836436</v>
      </c>
    </row>
    <row r="25" spans="1:31" x14ac:dyDescent="0.25">
      <c r="A25" s="1" t="s">
        <v>114</v>
      </c>
      <c r="B25" s="1" t="s">
        <v>4</v>
      </c>
      <c r="C25" s="1" t="s">
        <v>5</v>
      </c>
      <c r="D25" s="1">
        <v>20.9</v>
      </c>
      <c r="E25" s="1">
        <v>767693.46666666702</v>
      </c>
      <c r="F25" s="5">
        <v>46061608</v>
      </c>
      <c r="G25" s="6">
        <f t="shared" si="4"/>
        <v>7.6633390950119988</v>
      </c>
      <c r="H25" s="1"/>
      <c r="I25" s="1" t="s">
        <v>115</v>
      </c>
      <c r="J25" s="1" t="s">
        <v>4</v>
      </c>
      <c r="K25" s="1" t="s">
        <v>5</v>
      </c>
      <c r="L25" s="1">
        <v>20</v>
      </c>
      <c r="M25" s="1">
        <v>1470000.7666666666</v>
      </c>
      <c r="N25" s="5">
        <v>88200046</v>
      </c>
      <c r="O25" s="6">
        <f t="shared" si="5"/>
        <v>7.9454688116345515</v>
      </c>
      <c r="P25" s="1"/>
      <c r="Q25" s="1" t="s">
        <v>116</v>
      </c>
      <c r="R25" s="1" t="s">
        <v>4</v>
      </c>
      <c r="S25" s="1" t="s">
        <v>5</v>
      </c>
      <c r="T25" s="1">
        <v>36.799999999999997</v>
      </c>
      <c r="U25" s="1">
        <v>8.9</v>
      </c>
      <c r="V25" s="5">
        <v>534</v>
      </c>
      <c r="W25" s="6">
        <f t="shared" si="6"/>
        <v>2.7275412570285562</v>
      </c>
      <c r="X25" s="2"/>
      <c r="Y25" s="1" t="s">
        <v>117</v>
      </c>
      <c r="Z25" s="1" t="s">
        <v>4</v>
      </c>
      <c r="AA25" s="1" t="s">
        <v>5</v>
      </c>
      <c r="AB25" s="1" t="s">
        <v>39</v>
      </c>
      <c r="AC25" s="1">
        <v>1</v>
      </c>
      <c r="AD25" s="4">
        <v>60</v>
      </c>
      <c r="AE25" s="6">
        <f t="shared" si="7"/>
        <v>1.7781512503836436</v>
      </c>
    </row>
    <row r="26" spans="1:31" x14ac:dyDescent="0.25">
      <c r="A26" s="1" t="s">
        <v>118</v>
      </c>
      <c r="B26" s="1" t="s">
        <v>4</v>
      </c>
      <c r="C26" s="1" t="s">
        <v>5</v>
      </c>
      <c r="D26" s="1">
        <v>20.7</v>
      </c>
      <c r="E26" s="1">
        <v>934141.51666666672</v>
      </c>
      <c r="F26" s="5">
        <v>56048491</v>
      </c>
      <c r="G26" s="6">
        <f t="shared" si="4"/>
        <v>7.7485639245278675</v>
      </c>
      <c r="H26" s="1"/>
      <c r="I26" s="1" t="s">
        <v>119</v>
      </c>
      <c r="J26" s="1" t="s">
        <v>4</v>
      </c>
      <c r="K26" s="1" t="s">
        <v>5</v>
      </c>
      <c r="L26" s="1">
        <v>17.399999999999999</v>
      </c>
      <c r="M26" s="1">
        <v>9759177</v>
      </c>
      <c r="N26" s="5">
        <v>585550620</v>
      </c>
      <c r="O26" s="6">
        <f t="shared" si="5"/>
        <v>8.7675644451580048</v>
      </c>
      <c r="P26" s="1"/>
      <c r="Q26" s="1" t="s">
        <v>120</v>
      </c>
      <c r="R26" s="1" t="s">
        <v>4</v>
      </c>
      <c r="S26" s="1" t="s">
        <v>5</v>
      </c>
      <c r="T26" s="1" t="s">
        <v>39</v>
      </c>
      <c r="U26" s="1">
        <v>1</v>
      </c>
      <c r="V26" s="5">
        <v>60</v>
      </c>
      <c r="W26" s="6">
        <f t="shared" si="6"/>
        <v>1.7781512503836436</v>
      </c>
      <c r="X26" s="2"/>
      <c r="Y26" s="1" t="s">
        <v>121</v>
      </c>
      <c r="Z26" s="1" t="s">
        <v>4</v>
      </c>
      <c r="AA26" s="1" t="s">
        <v>5</v>
      </c>
      <c r="AB26" s="1" t="s">
        <v>39</v>
      </c>
      <c r="AC26" s="1">
        <v>1</v>
      </c>
      <c r="AD26" s="4">
        <v>60</v>
      </c>
      <c r="AE26" s="6">
        <f t="shared" si="7"/>
        <v>1.7781512503836436</v>
      </c>
    </row>
    <row r="27" spans="1:31" x14ac:dyDescent="0.25">
      <c r="A27" s="1" t="s">
        <v>122</v>
      </c>
      <c r="B27" s="1" t="s">
        <v>4</v>
      </c>
      <c r="C27" s="1" t="s">
        <v>5</v>
      </c>
      <c r="D27" s="1">
        <v>19</v>
      </c>
      <c r="E27" s="1">
        <v>3147502.75</v>
      </c>
      <c r="F27" s="5">
        <v>188850165</v>
      </c>
      <c r="G27" s="6">
        <f t="shared" si="4"/>
        <v>8.2761173686105032</v>
      </c>
      <c r="H27" s="1"/>
      <c r="I27" s="1" t="s">
        <v>123</v>
      </c>
      <c r="J27" s="1" t="s">
        <v>4</v>
      </c>
      <c r="K27" s="1" t="s">
        <v>5</v>
      </c>
      <c r="L27" s="1">
        <v>20.2</v>
      </c>
      <c r="M27" s="1">
        <v>1313262.3833333333</v>
      </c>
      <c r="N27" s="5">
        <v>78795743</v>
      </c>
      <c r="O27" s="6">
        <f t="shared" si="5"/>
        <v>7.8965027550333406</v>
      </c>
      <c r="P27" s="1"/>
      <c r="Q27" s="1" t="s">
        <v>124</v>
      </c>
      <c r="R27" s="1" t="s">
        <v>4</v>
      </c>
      <c r="S27" s="1" t="s">
        <v>5</v>
      </c>
      <c r="T27" s="1" t="s">
        <v>39</v>
      </c>
      <c r="U27" s="1">
        <v>1</v>
      </c>
      <c r="V27" s="5">
        <v>60</v>
      </c>
      <c r="W27" s="6">
        <f t="shared" si="6"/>
        <v>1.7781512503836436</v>
      </c>
      <c r="X27" s="2"/>
      <c r="Y27" s="1" t="s">
        <v>125</v>
      </c>
      <c r="Z27" s="1" t="s">
        <v>4</v>
      </c>
      <c r="AA27" s="1" t="s">
        <v>5</v>
      </c>
      <c r="AB27" s="1" t="s">
        <v>39</v>
      </c>
      <c r="AC27" s="1">
        <v>1</v>
      </c>
      <c r="AD27" s="4">
        <v>60</v>
      </c>
      <c r="AE27" s="6">
        <f t="shared" si="7"/>
        <v>1.7781512503836436</v>
      </c>
    </row>
    <row r="28" spans="1:31" x14ac:dyDescent="0.25">
      <c r="A28" s="1" t="s">
        <v>126</v>
      </c>
      <c r="B28" s="1" t="s">
        <v>4</v>
      </c>
      <c r="C28" s="1" t="s">
        <v>5</v>
      </c>
      <c r="D28" s="1">
        <v>19.600000000000001</v>
      </c>
      <c r="E28" s="1">
        <v>1939569.4333333301</v>
      </c>
      <c r="F28" s="5">
        <v>116374166</v>
      </c>
      <c r="G28" s="6">
        <f t="shared" si="4"/>
        <v>8.0658565816122074</v>
      </c>
      <c r="H28" s="1"/>
      <c r="I28" s="1" t="s">
        <v>127</v>
      </c>
      <c r="J28" s="1" t="s">
        <v>4</v>
      </c>
      <c r="K28" s="1" t="s">
        <v>5</v>
      </c>
      <c r="L28" s="1">
        <v>22.4</v>
      </c>
      <c r="M28" s="1">
        <v>261000.05</v>
      </c>
      <c r="N28" s="5">
        <v>15660003</v>
      </c>
      <c r="O28" s="6">
        <f t="shared" si="5"/>
        <v>7.1947918409200931</v>
      </c>
      <c r="P28" s="1"/>
      <c r="Q28" s="1" t="s">
        <v>128</v>
      </c>
      <c r="R28" s="1" t="s">
        <v>4</v>
      </c>
      <c r="S28" s="1" t="s">
        <v>5</v>
      </c>
      <c r="T28" s="1">
        <v>35.799999999999997</v>
      </c>
      <c r="U28" s="1">
        <v>17.616666666666667</v>
      </c>
      <c r="V28" s="5">
        <v>1057</v>
      </c>
      <c r="W28" s="6">
        <f t="shared" si="6"/>
        <v>3.0240749873074262</v>
      </c>
      <c r="X28" s="2"/>
      <c r="Y28" s="1" t="s">
        <v>129</v>
      </c>
      <c r="Z28" s="1" t="s">
        <v>4</v>
      </c>
      <c r="AA28" s="1" t="s">
        <v>5</v>
      </c>
      <c r="AB28" s="1" t="s">
        <v>39</v>
      </c>
      <c r="AC28" s="1">
        <v>1</v>
      </c>
      <c r="AD28" s="4">
        <v>60</v>
      </c>
      <c r="AE28" s="6">
        <f t="shared" si="7"/>
        <v>1.7781512503836436</v>
      </c>
    </row>
    <row r="29" spans="1:31" x14ac:dyDescent="0.25">
      <c r="A29" s="1" t="s">
        <v>130</v>
      </c>
      <c r="B29" s="1" t="s">
        <v>4</v>
      </c>
      <c r="C29" s="1" t="s">
        <v>5</v>
      </c>
      <c r="D29" s="1">
        <v>23.5</v>
      </c>
      <c r="E29" s="1">
        <v>119010.3</v>
      </c>
      <c r="F29" s="5">
        <v>7140618</v>
      </c>
      <c r="G29" s="6">
        <f t="shared" si="4"/>
        <v>6.8537358003441176</v>
      </c>
      <c r="H29" s="1"/>
      <c r="I29" s="1" t="s">
        <v>131</v>
      </c>
      <c r="J29" s="1" t="s">
        <v>4</v>
      </c>
      <c r="K29" s="1" t="s">
        <v>5</v>
      </c>
      <c r="L29" s="1">
        <v>21.4</v>
      </c>
      <c r="M29" s="1">
        <v>548453.06666666665</v>
      </c>
      <c r="N29" s="5">
        <v>32907184</v>
      </c>
      <c r="O29" s="6">
        <f t="shared" si="5"/>
        <v>7.51729071956004</v>
      </c>
      <c r="P29" s="1"/>
      <c r="Q29" s="1" t="s">
        <v>132</v>
      </c>
      <c r="R29" s="1" t="s">
        <v>4</v>
      </c>
      <c r="S29" s="1" t="s">
        <v>5</v>
      </c>
      <c r="T29" s="1" t="s">
        <v>39</v>
      </c>
      <c r="U29" s="1">
        <v>1</v>
      </c>
      <c r="V29" s="5">
        <v>60</v>
      </c>
      <c r="W29" s="6">
        <f t="shared" si="6"/>
        <v>1.7781512503836436</v>
      </c>
      <c r="X29" s="2"/>
      <c r="Y29" s="1" t="s">
        <v>133</v>
      </c>
      <c r="Z29" s="1" t="s">
        <v>4</v>
      </c>
      <c r="AA29" s="1" t="s">
        <v>5</v>
      </c>
      <c r="AB29" s="1" t="s">
        <v>39</v>
      </c>
      <c r="AC29" s="1">
        <v>1</v>
      </c>
      <c r="AD29" s="4">
        <v>60</v>
      </c>
      <c r="AE29" s="6">
        <f t="shared" si="7"/>
        <v>1.7781512503836436</v>
      </c>
    </row>
    <row r="30" spans="1:31" x14ac:dyDescent="0.25">
      <c r="A30" s="1" t="s">
        <v>134</v>
      </c>
      <c r="B30" s="1" t="s">
        <v>4</v>
      </c>
      <c r="C30" s="1" t="s">
        <v>5</v>
      </c>
      <c r="D30" s="1">
        <v>25.6</v>
      </c>
      <c r="E30" s="1">
        <v>27485.75</v>
      </c>
      <c r="F30" s="5">
        <v>1649145</v>
      </c>
      <c r="G30" s="6">
        <f t="shared" si="4"/>
        <v>6.2172588423827708</v>
      </c>
      <c r="H30" s="1"/>
      <c r="I30" s="1" t="s">
        <v>135</v>
      </c>
      <c r="J30" s="1" t="s">
        <v>4</v>
      </c>
      <c r="K30" s="1" t="s">
        <v>5</v>
      </c>
      <c r="L30" s="1">
        <v>23</v>
      </c>
      <c r="M30" s="1">
        <v>170359.31666666668</v>
      </c>
      <c r="N30" s="5">
        <v>10221559</v>
      </c>
      <c r="O30" s="6">
        <f t="shared" si="5"/>
        <v>7.0095171397773059</v>
      </c>
      <c r="P30" s="1"/>
      <c r="Q30" s="1" t="s">
        <v>136</v>
      </c>
      <c r="R30" s="1" t="s">
        <v>4</v>
      </c>
      <c r="S30" s="1" t="s">
        <v>5</v>
      </c>
      <c r="T30" s="1">
        <v>35.799999999999997</v>
      </c>
      <c r="U30" s="1">
        <v>17.433333333333334</v>
      </c>
      <c r="V30" s="5">
        <v>1046</v>
      </c>
      <c r="W30" s="6">
        <f t="shared" si="6"/>
        <v>3.0195316845312554</v>
      </c>
      <c r="X30" s="2"/>
      <c r="Y30" s="1" t="s">
        <v>137</v>
      </c>
      <c r="Z30" s="1" t="s">
        <v>4</v>
      </c>
      <c r="AA30" s="1" t="s">
        <v>5</v>
      </c>
      <c r="AB30" s="1" t="s">
        <v>39</v>
      </c>
      <c r="AC30" s="1">
        <v>1</v>
      </c>
      <c r="AD30" s="4">
        <v>60</v>
      </c>
      <c r="AE30" s="6">
        <f t="shared" si="7"/>
        <v>1.7781512503836436</v>
      </c>
    </row>
    <row r="31" spans="1:31" x14ac:dyDescent="0.25">
      <c r="A31" s="1" t="s">
        <v>138</v>
      </c>
      <c r="B31" s="1" t="s">
        <v>4</v>
      </c>
      <c r="C31" s="1" t="s">
        <v>5</v>
      </c>
      <c r="D31" s="1">
        <v>21.9</v>
      </c>
      <c r="E31" s="1">
        <v>379000.183333333</v>
      </c>
      <c r="F31" s="5">
        <v>22740011</v>
      </c>
      <c r="G31" s="6">
        <f t="shared" si="4"/>
        <v>7.3567906704325488</v>
      </c>
      <c r="H31" s="1"/>
      <c r="I31" s="1" t="s">
        <v>139</v>
      </c>
      <c r="J31" s="1" t="s">
        <v>4</v>
      </c>
      <c r="K31" s="1" t="s">
        <v>5</v>
      </c>
      <c r="L31" s="1">
        <v>24.3</v>
      </c>
      <c r="M31" s="1">
        <v>67900.850000000006</v>
      </c>
      <c r="N31" s="5">
        <v>4074051</v>
      </c>
      <c r="O31" s="6">
        <f t="shared" si="5"/>
        <v>6.6100264613062523</v>
      </c>
      <c r="P31" s="1"/>
      <c r="Q31" s="1" t="s">
        <v>140</v>
      </c>
      <c r="R31" s="1" t="s">
        <v>4</v>
      </c>
      <c r="S31" s="1" t="s">
        <v>5</v>
      </c>
      <c r="T31" s="1" t="s">
        <v>39</v>
      </c>
      <c r="U31" s="1">
        <v>1</v>
      </c>
      <c r="V31" s="5">
        <v>60</v>
      </c>
      <c r="W31" s="6">
        <f t="shared" si="6"/>
        <v>1.7781512503836436</v>
      </c>
      <c r="X31" s="2"/>
      <c r="Y31" s="1" t="s">
        <v>141</v>
      </c>
      <c r="Z31" s="1" t="s">
        <v>4</v>
      </c>
      <c r="AA31" s="1" t="s">
        <v>5</v>
      </c>
      <c r="AB31" s="1" t="s">
        <v>39</v>
      </c>
      <c r="AC31" s="1">
        <v>1</v>
      </c>
      <c r="AD31" s="4">
        <v>60</v>
      </c>
      <c r="AE31" s="6">
        <f t="shared" si="7"/>
        <v>1.7781512503836436</v>
      </c>
    </row>
    <row r="32" spans="1:31" x14ac:dyDescent="0.25">
      <c r="A32" s="1" t="s">
        <v>142</v>
      </c>
      <c r="B32" s="1" t="s">
        <v>4</v>
      </c>
      <c r="C32" s="1" t="s">
        <v>5</v>
      </c>
      <c r="D32" s="1">
        <v>29</v>
      </c>
      <c r="E32" s="1">
        <v>2311</v>
      </c>
      <c r="F32" s="5">
        <v>138660</v>
      </c>
      <c r="G32" s="6">
        <f t="shared" si="4"/>
        <v>5.1419511958627533</v>
      </c>
      <c r="H32" s="1"/>
      <c r="I32" s="1" t="s">
        <v>143</v>
      </c>
      <c r="J32" s="1" t="s">
        <v>4</v>
      </c>
      <c r="K32" s="1" t="s">
        <v>5</v>
      </c>
      <c r="L32" s="1">
        <v>20.6</v>
      </c>
      <c r="M32" s="1">
        <v>1008886.1</v>
      </c>
      <c r="N32" s="5">
        <v>60533166</v>
      </c>
      <c r="O32" s="6">
        <f t="shared" si="5"/>
        <v>7.7819933889360469</v>
      </c>
      <c r="P32" s="1"/>
      <c r="Q32" s="1" t="s">
        <v>144</v>
      </c>
      <c r="R32" s="1" t="s">
        <v>4</v>
      </c>
      <c r="S32" s="1" t="s">
        <v>5</v>
      </c>
      <c r="T32" s="1" t="s">
        <v>39</v>
      </c>
      <c r="U32" s="1">
        <v>1</v>
      </c>
      <c r="V32" s="5">
        <v>60</v>
      </c>
      <c r="W32" s="6">
        <f t="shared" si="6"/>
        <v>1.7781512503836436</v>
      </c>
      <c r="X32" s="2"/>
      <c r="Y32" s="1" t="s">
        <v>145</v>
      </c>
      <c r="Z32" s="1" t="s">
        <v>4</v>
      </c>
      <c r="AA32" s="1" t="s">
        <v>5</v>
      </c>
      <c r="AB32" s="1" t="s">
        <v>39</v>
      </c>
      <c r="AC32" s="1">
        <v>1</v>
      </c>
      <c r="AD32" s="4">
        <v>60</v>
      </c>
      <c r="AE32" s="6">
        <f t="shared" si="7"/>
        <v>1.7781512503836436</v>
      </c>
    </row>
    <row r="33" spans="1:31" x14ac:dyDescent="0.25">
      <c r="A33" s="1" t="s">
        <v>146</v>
      </c>
      <c r="B33" s="1" t="s">
        <v>4</v>
      </c>
      <c r="C33" s="1" t="s">
        <v>5</v>
      </c>
      <c r="D33" s="1">
        <v>29.6</v>
      </c>
      <c r="E33" s="1">
        <v>1504</v>
      </c>
      <c r="F33" s="5">
        <v>90240</v>
      </c>
      <c r="G33" s="6">
        <f t="shared" si="4"/>
        <v>4.9553990866392672</v>
      </c>
      <c r="H33" s="1"/>
      <c r="I33" s="1" t="s">
        <v>147</v>
      </c>
      <c r="J33" s="1" t="s">
        <v>4</v>
      </c>
      <c r="K33" s="1" t="s">
        <v>5</v>
      </c>
      <c r="L33" s="1">
        <v>26.4</v>
      </c>
      <c r="M33" s="1">
        <v>15404.7</v>
      </c>
      <c r="N33" s="5">
        <v>924282</v>
      </c>
      <c r="O33" s="6">
        <f t="shared" si="5"/>
        <v>5.9658044954180882</v>
      </c>
      <c r="P33" s="1"/>
      <c r="Q33" s="1" t="s">
        <v>148</v>
      </c>
      <c r="R33" s="1" t="s">
        <v>4</v>
      </c>
      <c r="S33" s="1" t="s">
        <v>5</v>
      </c>
      <c r="T33" s="1" t="s">
        <v>39</v>
      </c>
      <c r="U33" s="1">
        <v>1</v>
      </c>
      <c r="V33" s="5">
        <v>60</v>
      </c>
      <c r="W33" s="6">
        <f t="shared" si="6"/>
        <v>1.7781512503836436</v>
      </c>
      <c r="X33" s="2"/>
      <c r="Y33" s="1" t="s">
        <v>149</v>
      </c>
      <c r="Z33" s="1" t="s">
        <v>4</v>
      </c>
      <c r="AA33" s="1" t="s">
        <v>5</v>
      </c>
      <c r="AB33" s="1" t="s">
        <v>39</v>
      </c>
      <c r="AC33" s="1">
        <v>1</v>
      </c>
      <c r="AD33" s="4">
        <v>60</v>
      </c>
      <c r="AE33" s="6">
        <f t="shared" si="7"/>
        <v>1.7781512503836436</v>
      </c>
    </row>
    <row r="34" spans="1:31" x14ac:dyDescent="0.25">
      <c r="A34" s="1" t="s">
        <v>150</v>
      </c>
      <c r="B34" s="1" t="s">
        <v>4</v>
      </c>
      <c r="C34" s="1" t="s">
        <v>5</v>
      </c>
      <c r="D34" s="1">
        <v>26.9</v>
      </c>
      <c r="E34" s="1">
        <v>10838.4</v>
      </c>
      <c r="F34" s="5">
        <v>650304</v>
      </c>
      <c r="G34" s="6">
        <f t="shared" si="4"/>
        <v>5.8131164253481797</v>
      </c>
      <c r="H34" s="1"/>
      <c r="I34" s="1" t="s">
        <v>151</v>
      </c>
      <c r="J34" s="1" t="s">
        <v>4</v>
      </c>
      <c r="K34" s="1" t="s">
        <v>5</v>
      </c>
      <c r="L34" s="1">
        <v>33</v>
      </c>
      <c r="M34" s="1">
        <v>135.48333333333332</v>
      </c>
      <c r="N34" s="5">
        <v>8129</v>
      </c>
      <c r="O34" s="6">
        <f t="shared" si="5"/>
        <v>3.9100371235530509</v>
      </c>
      <c r="P34" s="1"/>
      <c r="Q34" s="1" t="s">
        <v>152</v>
      </c>
      <c r="R34" s="1" t="s">
        <v>4</v>
      </c>
      <c r="S34" s="1" t="s">
        <v>5</v>
      </c>
      <c r="T34" s="1" t="s">
        <v>39</v>
      </c>
      <c r="U34" s="1">
        <v>1</v>
      </c>
      <c r="V34" s="5">
        <v>60</v>
      </c>
      <c r="W34" s="6">
        <f t="shared" si="6"/>
        <v>1.7781512503836436</v>
      </c>
      <c r="X34" s="2"/>
      <c r="Y34" s="1" t="s">
        <v>153</v>
      </c>
      <c r="Z34" s="1" t="s">
        <v>4</v>
      </c>
      <c r="AA34" s="1" t="s">
        <v>5</v>
      </c>
      <c r="AB34" s="1" t="s">
        <v>39</v>
      </c>
      <c r="AC34" s="1">
        <v>1</v>
      </c>
      <c r="AD34" s="4">
        <v>60</v>
      </c>
      <c r="AE34" s="6">
        <f t="shared" si="7"/>
        <v>1.7781512503836436</v>
      </c>
    </row>
    <row r="35" spans="1:31" x14ac:dyDescent="0.25">
      <c r="A35" s="1" t="s">
        <v>154</v>
      </c>
      <c r="B35" s="1" t="s">
        <v>4</v>
      </c>
      <c r="C35" s="1" t="s">
        <v>5</v>
      </c>
      <c r="D35" s="1">
        <v>35.9</v>
      </c>
      <c r="E35" s="1">
        <v>16.45</v>
      </c>
      <c r="F35" s="5">
        <v>987</v>
      </c>
      <c r="G35" s="6">
        <f t="shared" si="4"/>
        <v>2.9943171526696366</v>
      </c>
      <c r="H35" s="1"/>
      <c r="I35" s="1" t="s">
        <v>155</v>
      </c>
      <c r="J35" s="1" t="s">
        <v>4</v>
      </c>
      <c r="K35" s="1" t="s">
        <v>5</v>
      </c>
      <c r="L35" s="1">
        <v>26.5</v>
      </c>
      <c r="M35" s="1">
        <v>13796.8</v>
      </c>
      <c r="N35" s="5">
        <v>827808</v>
      </c>
      <c r="O35" s="6">
        <f t="shared" si="5"/>
        <v>5.9179296191402022</v>
      </c>
      <c r="P35" s="1"/>
      <c r="Q35" s="1" t="s">
        <v>156</v>
      </c>
      <c r="R35" s="1" t="s">
        <v>4</v>
      </c>
      <c r="S35" s="1" t="s">
        <v>5</v>
      </c>
      <c r="T35" s="1" t="s">
        <v>39</v>
      </c>
      <c r="U35" s="1">
        <v>1</v>
      </c>
      <c r="V35" s="5">
        <v>60</v>
      </c>
      <c r="W35" s="6">
        <f t="shared" si="6"/>
        <v>1.7781512503836436</v>
      </c>
      <c r="X35" s="2"/>
      <c r="Y35" s="1" t="s">
        <v>157</v>
      </c>
      <c r="Z35" s="1" t="s">
        <v>4</v>
      </c>
      <c r="AA35" s="1" t="s">
        <v>5</v>
      </c>
      <c r="AB35" s="1" t="s">
        <v>39</v>
      </c>
      <c r="AC35" s="1">
        <v>1</v>
      </c>
      <c r="AD35" s="4">
        <v>60</v>
      </c>
      <c r="AE35" s="6">
        <f t="shared" si="7"/>
        <v>1.7781512503836436</v>
      </c>
    </row>
    <row r="36" spans="1:31" x14ac:dyDescent="0.25">
      <c r="A36" s="1" t="s">
        <v>158</v>
      </c>
      <c r="B36" s="1" t="s">
        <v>4</v>
      </c>
      <c r="C36" s="1" t="s">
        <v>5</v>
      </c>
      <c r="D36" s="1">
        <v>37.700000000000003</v>
      </c>
      <c r="E36" s="1">
        <v>4.68333333333333</v>
      </c>
      <c r="F36" s="5">
        <v>281</v>
      </c>
      <c r="G36" s="6">
        <f t="shared" si="4"/>
        <v>2.4487063199050798</v>
      </c>
      <c r="H36" s="1"/>
      <c r="I36" s="1" t="s">
        <v>159</v>
      </c>
      <c r="J36" s="1" t="s">
        <v>4</v>
      </c>
      <c r="K36" s="1" t="s">
        <v>5</v>
      </c>
      <c r="L36" s="1">
        <v>29</v>
      </c>
      <c r="M36" s="1">
        <v>2336.65</v>
      </c>
      <c r="N36" s="5">
        <v>140199</v>
      </c>
      <c r="O36" s="6">
        <f t="shared" si="5"/>
        <v>5.1467449159414045</v>
      </c>
      <c r="P36" s="1"/>
      <c r="Q36" s="1" t="s">
        <v>160</v>
      </c>
      <c r="R36" s="1" t="s">
        <v>4</v>
      </c>
      <c r="S36" s="1" t="s">
        <v>5</v>
      </c>
      <c r="T36" s="1" t="s">
        <v>39</v>
      </c>
      <c r="U36" s="1">
        <v>1</v>
      </c>
      <c r="V36" s="5">
        <v>60</v>
      </c>
      <c r="W36" s="6">
        <f t="shared" si="6"/>
        <v>1.7781512503836436</v>
      </c>
      <c r="X36" s="2"/>
      <c r="Y36" s="1" t="s">
        <v>161</v>
      </c>
      <c r="Z36" s="1" t="s">
        <v>4</v>
      </c>
      <c r="AA36" s="1" t="s">
        <v>5</v>
      </c>
      <c r="AB36" s="1" t="s">
        <v>39</v>
      </c>
      <c r="AC36" s="1">
        <v>1</v>
      </c>
      <c r="AD36" s="4">
        <v>60</v>
      </c>
      <c r="AE36" s="6">
        <f t="shared" si="7"/>
        <v>1.7781512503836436</v>
      </c>
    </row>
    <row r="37" spans="1:31" x14ac:dyDescent="0.25">
      <c r="A37" s="1" t="s">
        <v>162</v>
      </c>
      <c r="B37" s="1" t="s">
        <v>4</v>
      </c>
      <c r="C37" s="1" t="s">
        <v>5</v>
      </c>
      <c r="D37" s="1">
        <v>36.299999999999997</v>
      </c>
      <c r="E37" s="1">
        <v>12.35</v>
      </c>
      <c r="F37" s="5">
        <v>741</v>
      </c>
      <c r="G37" s="6">
        <f t="shared" si="4"/>
        <v>2.869818207979328</v>
      </c>
      <c r="H37" s="1"/>
      <c r="I37" s="1" t="s">
        <v>163</v>
      </c>
      <c r="J37" s="1" t="s">
        <v>4</v>
      </c>
      <c r="K37" s="1" t="s">
        <v>5</v>
      </c>
      <c r="L37" s="1">
        <v>31.5</v>
      </c>
      <c r="M37" s="1">
        <v>394.65</v>
      </c>
      <c r="N37" s="5">
        <v>23679</v>
      </c>
      <c r="O37" s="6">
        <f t="shared" si="5"/>
        <v>4.374363357525028</v>
      </c>
      <c r="P37" s="1"/>
      <c r="Q37" s="1" t="s">
        <v>164</v>
      </c>
      <c r="R37" s="1" t="s">
        <v>4</v>
      </c>
      <c r="S37" s="1" t="s">
        <v>5</v>
      </c>
      <c r="T37" s="1" t="s">
        <v>39</v>
      </c>
      <c r="U37" s="1">
        <v>1</v>
      </c>
      <c r="V37" s="5">
        <v>60</v>
      </c>
      <c r="W37" s="6">
        <f t="shared" si="6"/>
        <v>1.7781512503836436</v>
      </c>
      <c r="X37" s="2"/>
      <c r="Y37" s="1" t="s">
        <v>165</v>
      </c>
      <c r="Z37" s="1" t="s">
        <v>4</v>
      </c>
      <c r="AA37" s="1" t="s">
        <v>5</v>
      </c>
      <c r="AB37" s="1" t="s">
        <v>39</v>
      </c>
      <c r="AC37" s="1">
        <v>1</v>
      </c>
      <c r="AD37" s="4">
        <v>60</v>
      </c>
      <c r="AE37" s="6">
        <f t="shared" si="7"/>
        <v>1.7781512503836436</v>
      </c>
    </row>
    <row r="39" spans="1:31" x14ac:dyDescent="0.25">
      <c r="A39" s="3" t="s">
        <v>40</v>
      </c>
    </row>
  </sheetData>
  <mergeCells count="8">
    <mergeCell ref="A1:G1"/>
    <mergeCell ref="I1:O1"/>
    <mergeCell ref="Q1:W1"/>
    <mergeCell ref="Y1:AE1"/>
    <mergeCell ref="A12:G12"/>
    <mergeCell ref="I12:O12"/>
    <mergeCell ref="Q12:W12"/>
    <mergeCell ref="Y12:AE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G10" sqref="G10"/>
    </sheetView>
  </sheetViews>
  <sheetFormatPr defaultRowHeight="15" x14ac:dyDescent="0.25"/>
  <cols>
    <col min="1" max="1" width="9" style="3"/>
    <col min="2" max="3" width="10.25" style="3" customWidth="1"/>
    <col min="4" max="4" width="10.5" style="3" customWidth="1"/>
    <col min="5" max="16384" width="9" style="3"/>
  </cols>
  <sheetData>
    <row r="1" spans="1:4" x14ac:dyDescent="0.25">
      <c r="A1" s="11" t="s">
        <v>8</v>
      </c>
      <c r="B1" s="12"/>
      <c r="C1" s="12"/>
      <c r="D1" s="13"/>
    </row>
    <row r="2" spans="1:4" x14ac:dyDescent="0.25">
      <c r="A2" s="4"/>
      <c r="B2" s="4" t="s">
        <v>13</v>
      </c>
      <c r="C2" s="4" t="s">
        <v>15</v>
      </c>
      <c r="D2" s="4" t="s">
        <v>17</v>
      </c>
    </row>
    <row r="3" spans="1:4" x14ac:dyDescent="0.25">
      <c r="A3" s="4" t="s">
        <v>41</v>
      </c>
      <c r="B3" s="4">
        <v>13.6</v>
      </c>
      <c r="C3" s="4">
        <v>12.1</v>
      </c>
      <c r="D3" s="4">
        <v>12.95</v>
      </c>
    </row>
    <row r="4" spans="1:4" x14ac:dyDescent="0.25">
      <c r="A4" s="4" t="s">
        <v>9</v>
      </c>
      <c r="B4" s="4">
        <v>9.75</v>
      </c>
      <c r="C4" s="4">
        <v>11.8</v>
      </c>
      <c r="D4" s="4">
        <v>10.65</v>
      </c>
    </row>
    <row r="5" spans="1:4" x14ac:dyDescent="0.25">
      <c r="A5" s="4" t="s">
        <v>10</v>
      </c>
      <c r="B5" s="4">
        <v>9.8000000000000007</v>
      </c>
      <c r="C5" s="4">
        <v>7.7</v>
      </c>
      <c r="D5" s="4">
        <v>10.35</v>
      </c>
    </row>
    <row r="6" spans="1:4" x14ac:dyDescent="0.25">
      <c r="A6" s="4" t="s">
        <v>11</v>
      </c>
      <c r="B6" s="4">
        <v>7.35</v>
      </c>
      <c r="C6" s="4">
        <v>7</v>
      </c>
      <c r="D6" s="4">
        <v>4.9000000000000004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G9" sqref="G9"/>
    </sheetView>
  </sheetViews>
  <sheetFormatPr defaultRowHeight="15" x14ac:dyDescent="0.25"/>
  <cols>
    <col min="1" max="1" width="9" style="3"/>
    <col min="2" max="2" width="10.375" style="3" customWidth="1"/>
    <col min="3" max="3" width="10.25" style="3" customWidth="1"/>
    <col min="4" max="4" width="10.625" style="3" customWidth="1"/>
    <col min="5" max="16384" width="9" style="3"/>
  </cols>
  <sheetData>
    <row r="1" spans="1:4" x14ac:dyDescent="0.25">
      <c r="A1" s="11" t="s">
        <v>18</v>
      </c>
      <c r="B1" s="12"/>
      <c r="C1" s="12"/>
      <c r="D1" s="13"/>
    </row>
    <row r="2" spans="1:4" x14ac:dyDescent="0.25">
      <c r="A2" s="4"/>
      <c r="B2" s="4" t="s">
        <v>12</v>
      </c>
      <c r="C2" s="4" t="s">
        <v>14</v>
      </c>
      <c r="D2" s="4" t="s">
        <v>16</v>
      </c>
    </row>
    <row r="3" spans="1:4" x14ac:dyDescent="0.25">
      <c r="A3" s="4" t="s">
        <v>41</v>
      </c>
      <c r="B3" s="4">
        <v>34.4</v>
      </c>
      <c r="C3" s="4">
        <v>35.4</v>
      </c>
      <c r="D3" s="4">
        <v>35.5</v>
      </c>
    </row>
    <row r="4" spans="1:4" x14ac:dyDescent="0.25">
      <c r="A4" s="4" t="s">
        <v>9</v>
      </c>
      <c r="B4" s="4">
        <v>40.299999999999997</v>
      </c>
      <c r="C4" s="4">
        <v>36.700000000000003</v>
      </c>
      <c r="D4" s="4">
        <v>31.3</v>
      </c>
    </row>
    <row r="5" spans="1:4" x14ac:dyDescent="0.25">
      <c r="A5" s="4" t="s">
        <v>10</v>
      </c>
      <c r="B5" s="4">
        <v>2.9</v>
      </c>
      <c r="C5" s="4">
        <v>3.45</v>
      </c>
      <c r="D5" s="4">
        <v>4.2</v>
      </c>
    </row>
    <row r="6" spans="1:4" x14ac:dyDescent="0.25">
      <c r="A6" s="4" t="s">
        <v>11</v>
      </c>
      <c r="B6" s="4">
        <v>0</v>
      </c>
      <c r="C6" s="4">
        <v>0</v>
      </c>
      <c r="D6" s="4">
        <v>1.2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Figure2a-d</vt:lpstr>
      <vt:lpstr>Figure2e</vt:lpstr>
      <vt:lpstr>Figure2f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2026-05-27T07:48:36Z</dcterms:modified>
</cp:coreProperties>
</file>